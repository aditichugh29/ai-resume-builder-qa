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est Cases" sheetId="2" state="visible" r:id="rId4"/>
    <sheet name="Summary" sheetId="3" state="visible" r:id="rId5"/>
    <sheet name="Defects" sheetId="4" state="visible" r:id="rId6"/>
    <sheet name="Automation" sheetId="5" state="visible" r:id="rId7"/>
  </sheets>
  <definedNames>
    <definedName function="false" hidden="true" localSheetId="3" name="_xlnm._FilterDatabase" vbProcedure="false">Defects!$A$1:$I$7</definedName>
    <definedName function="false" hidden="true" localSheetId="1" name="_xlnm._FilterDatabase" vbProcedure="false">'Test Cases'!$A$1:$H$78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<sst xmlns="http://schemas.openxmlformats.org/spreadsheetml/2006/main" count="740" uniqueCount="507">
  <si>
    <t xml:space="preserve">AI Resume Builder – QA Test Documentation</t>
  </si>
  <si>
    <t xml:space="preserve">Prepared by</t>
  </si>
  <si>
    <t xml:space="preserve">Aditi</t>
  </si>
  <si>
    <t xml:space="preserve">Test cycle</t>
  </si>
  <si>
    <t xml:space="preserve">QA Test Cycle 1</t>
  </si>
  <si>
    <t xml:space="preserve">Application</t>
  </si>
  <si>
    <t xml:space="preserve">AI Resume Builder</t>
  </si>
  <si>
    <t xml:space="preserve">Frontend</t>
  </si>
  <si>
    <t xml:space="preserve">Vercel deployment</t>
  </si>
  <si>
    <t xml:space="preserve">Backend</t>
  </si>
  <si>
    <t xml:space="preserve">Render deployment</t>
  </si>
  <si>
    <t xml:space="preserve">Database</t>
  </si>
  <si>
    <t xml:space="preserve">MongoDB Atlas</t>
  </si>
  <si>
    <t xml:space="preserve">API tool</t>
  </si>
  <si>
    <t xml:space="preserve">Postman</t>
  </si>
  <si>
    <t xml:space="preserve">Testing date</t>
  </si>
  <si>
    <t xml:space="preserve">7 October 2026</t>
  </si>
  <si>
    <t xml:space="preserve">Testing covered</t>
  </si>
  <si>
    <t xml:space="preserve">Manual UI, registration, API, database validation, resume sharing, persistence, authentication and defect reporting</t>
  </si>
  <si>
    <t xml:space="preserve">Automation status</t>
  </si>
  <si>
    <t xml:space="preserve">3 Playwright tests (AUTO-001 to AUTO-003) were run on 8 Oct 2026: 3 passed. They use the real frontend with the backend API mocked, and are reported on the Automation sheet, separate from the 77 executed tests.</t>
  </si>
  <si>
    <t xml:space="preserve">Important note</t>
  </si>
  <si>
    <t xml:space="preserve">All results in this workbook are based on tests actually executed and observed. No assumed or unexecuted results are included.</t>
  </si>
  <si>
    <t xml:space="preserve">Status meaning</t>
  </si>
  <si>
    <t xml:space="preserve">PASS = expected behavior observed; FAIL = actual behavior differed from expected result.</t>
  </si>
  <si>
    <t xml:space="preserve">Test Case ID</t>
  </si>
  <si>
    <t xml:space="preserve">Module</t>
  </si>
  <si>
    <t xml:space="preserve">Test Scenario</t>
  </si>
  <si>
    <t xml:space="preserve">Steps / Test Data</t>
  </si>
  <si>
    <t xml:space="preserve">Expected Result</t>
  </si>
  <si>
    <t xml:space="preserve">Actual Result</t>
  </si>
  <si>
    <t xml:space="preserve">Status</t>
  </si>
  <si>
    <t xml:space="preserve">Defect ID</t>
  </si>
  <si>
    <t xml:space="preserve">TC-001</t>
  </si>
  <si>
    <t xml:space="preserve">Login</t>
  </si>
  <si>
    <t xml:space="preserve">Blank email and password</t>
  </si>
  <si>
    <t xml:space="preserve">Leave both fields blank and submit</t>
  </si>
  <si>
    <t xml:space="preserve">Required validation should appear</t>
  </si>
  <si>
    <t xml:space="preserve">Required-field validation appeared</t>
  </si>
  <si>
    <t xml:space="preserve">PASS</t>
  </si>
  <si>
    <t xml:space="preserve">TC-002</t>
  </si>
  <si>
    <t xml:space="preserve">Invalid email format</t>
  </si>
  <si>
    <t xml:space="preserve">Enter aditi123 as email</t>
  </si>
  <si>
    <t xml:space="preserve">Invalid email should be rejected</t>
  </si>
  <si>
    <t xml:space="preserve">Validation indicated email must include @</t>
  </si>
  <si>
    <t xml:space="preserve">TC-003</t>
  </si>
  <si>
    <t xml:space="preserve">Unregistered email</t>
  </si>
  <si>
    <t xml:space="preserve">Enter unregistered email with password</t>
  </si>
  <si>
    <t xml:space="preserve">Login should be rejected</t>
  </si>
  <si>
    <t xml:space="preserve">Invalid email or password</t>
  </si>
  <si>
    <t xml:space="preserve">TC-004</t>
  </si>
  <si>
    <t xml:space="preserve">Correct email with wrong password</t>
  </si>
  <si>
    <t xml:space="preserve">Enter valid email and incorrect password</t>
  </si>
  <si>
    <t xml:space="preserve">TC-005</t>
  </si>
  <si>
    <t xml:space="preserve">Valid credentials</t>
  </si>
  <si>
    <t xml:space="preserve">Enter valid registered credentials</t>
  </si>
  <si>
    <t xml:space="preserve">Dashboard should open</t>
  </si>
  <si>
    <t xml:space="preserve">Dashboard opened and greeting displayed</t>
  </si>
  <si>
    <t xml:space="preserve">TC-006</t>
  </si>
  <si>
    <t xml:space="preserve">Dashboard</t>
  </si>
  <si>
    <t xml:space="preserve">Dashboard loading</t>
  </si>
  <si>
    <t xml:space="preserve">Login and open dashboard</t>
  </si>
  <si>
    <t xml:space="preserve">Dashboard should load correctly</t>
  </si>
  <si>
    <t xml:space="preserve">Dashboard and resume options loaded</t>
  </si>
  <si>
    <t xml:space="preserve">TC-007</t>
  </si>
  <si>
    <t xml:space="preserve">Resume Creation</t>
  </si>
  <si>
    <t xml:space="preserve">Blank title</t>
  </si>
  <si>
    <t xml:space="preserve">Leave title blank and continue</t>
  </si>
  <si>
    <t xml:space="preserve">Title should be required</t>
  </si>
  <si>
    <t xml:space="preserve">Required validation appeared</t>
  </si>
  <si>
    <t xml:space="preserve">TC-008</t>
  </si>
  <si>
    <t xml:space="preserve">Valid title</t>
  </si>
  <si>
    <t xml:space="preserve">Enter Aditi QA Resume</t>
  </si>
  <si>
    <t xml:space="preserve">Resume editor should open</t>
  </si>
  <si>
    <t xml:space="preserve">Resume editor opened</t>
  </si>
  <si>
    <t xml:space="preserve">TC-009</t>
  </si>
  <si>
    <t xml:space="preserve">Personal Info</t>
  </si>
  <si>
    <t xml:space="preserve">Required email blank</t>
  </si>
  <si>
    <t xml:space="preserve">Leave email blank and continue</t>
  </si>
  <si>
    <t xml:space="preserve">Required email should block progression</t>
  </si>
  <si>
    <t xml:space="preserve">User was allowed to continue</t>
  </si>
  <si>
    <t xml:space="preserve">FAIL</t>
  </si>
  <si>
    <t xml:space="preserve">BUG-001</t>
  </si>
  <si>
    <t xml:space="preserve">TC-010</t>
  </si>
  <si>
    <t xml:space="preserve">Valid email</t>
  </si>
  <si>
    <t xml:space="preserve">Enter valid email</t>
  </si>
  <si>
    <t xml:space="preserve">Email should be accepted</t>
  </si>
  <si>
    <t xml:space="preserve">Accepted and progression allowed</t>
  </si>
  <si>
    <t xml:space="preserve">TC-011</t>
  </si>
  <si>
    <t xml:space="preserve">Invalid email</t>
  </si>
  <si>
    <t xml:space="preserve">Enter aditi123</t>
  </si>
  <si>
    <t xml:space="preserve">Invalid email was accepted</t>
  </si>
  <si>
    <t xml:space="preserve">BUG-002</t>
  </si>
  <si>
    <t xml:space="preserve">TC-012</t>
  </si>
  <si>
    <t xml:space="preserve">Professional Summary</t>
  </si>
  <si>
    <t xml:space="preserve">Blank summary</t>
  </si>
  <si>
    <t xml:space="preserve">Continue without summary</t>
  </si>
  <si>
    <t xml:space="preserve">Configured optional/required behavior should apply</t>
  </si>
  <si>
    <t xml:space="preserve">User was allowed to continue; no blocking validation observed</t>
  </si>
  <si>
    <t xml:space="preserve">TC-013</t>
  </si>
  <si>
    <t xml:space="preserve">Valid summary</t>
  </si>
  <si>
    <t xml:space="preserve">Enter valid summary and continue</t>
  </si>
  <si>
    <t xml:space="preserve">Summary should be accepted</t>
  </si>
  <si>
    <t xml:space="preserve">Accepted and progressed</t>
  </si>
  <si>
    <t xml:space="preserve">TC-014</t>
  </si>
  <si>
    <t xml:space="preserve">Experience</t>
  </si>
  <si>
    <t xml:space="preserve">Add experience</t>
  </si>
  <si>
    <t xml:space="preserve">Enter experience details and add/save</t>
  </si>
  <si>
    <t xml:space="preserve">Experience should be added</t>
  </si>
  <si>
    <t xml:space="preserve">Experience added successfully</t>
  </si>
  <si>
    <t xml:space="preserve">TC-015</t>
  </si>
  <si>
    <t xml:space="preserve">AI enhance job description</t>
  </si>
  <si>
    <t xml:space="preserve">Enter job description and use AI enhancement</t>
  </si>
  <si>
    <t xml:space="preserve">One clean enhanced description should be returned</t>
  </si>
  <si>
    <t xml:space="preserve">Multiple alternatives, explanations and placeholders returned</t>
  </si>
  <si>
    <t xml:space="preserve">BUG-006</t>
  </si>
  <si>
    <t xml:space="preserve">TC-016</t>
  </si>
  <si>
    <t xml:space="preserve">Continue to Education</t>
  </si>
  <si>
    <t xml:space="preserve">Proceed after experience</t>
  </si>
  <si>
    <t xml:space="preserve">Education should open</t>
  </si>
  <si>
    <t xml:space="preserve">Education opened</t>
  </si>
  <si>
    <t xml:space="preserve">TC-017</t>
  </si>
  <si>
    <t xml:space="preserve">Education</t>
  </si>
  <si>
    <t xml:space="preserve">Empty education</t>
  </si>
  <si>
    <t xml:space="preserve">Leave education empty and continue</t>
  </si>
  <si>
    <t xml:space="preserve">Progression should work if optional</t>
  </si>
  <si>
    <t xml:space="preserve">Progressed to Projects</t>
  </si>
  <si>
    <t xml:space="preserve">TC-018</t>
  </si>
  <si>
    <t xml:space="preserve">Projects</t>
  </si>
  <si>
    <t xml:space="preserve">Empty projects</t>
  </si>
  <si>
    <t xml:space="preserve">Leave projects empty and continue</t>
  </si>
  <si>
    <t xml:space="preserve">Progressed to Skills</t>
  </si>
  <si>
    <t xml:space="preserve">TC-019</t>
  </si>
  <si>
    <t xml:space="preserve">Skills</t>
  </si>
  <si>
    <t xml:space="preserve">Empty skills</t>
  </si>
  <si>
    <t xml:space="preserve">Leave skills empty and continue</t>
  </si>
  <si>
    <t xml:space="preserve">Progressed to resume output</t>
  </si>
  <si>
    <t xml:space="preserve">TC-020</t>
  </si>
  <si>
    <t xml:space="preserve">Resume Output</t>
  </si>
  <si>
    <t xml:space="preserve">Download resume</t>
  </si>
  <si>
    <t xml:space="preserve">Use Download option</t>
  </si>
  <si>
    <t xml:space="preserve">Resume should download</t>
  </si>
  <si>
    <t xml:space="preserve">Resume downloaded</t>
  </si>
  <si>
    <t xml:space="preserve">TC-021</t>
  </si>
  <si>
    <t xml:space="preserve">Public Sharing</t>
  </si>
  <si>
    <t xml:space="preserve">Make resume public</t>
  </si>
  <si>
    <t xml:space="preserve">Enable public toggle and open link</t>
  </si>
  <si>
    <t xml:space="preserve">Public resume should be accessible</t>
  </si>
  <si>
    <t xml:space="preserve">Public link accessible</t>
  </si>
  <si>
    <t xml:space="preserve">TC-022</t>
  </si>
  <si>
    <t xml:space="preserve">Private resume access</t>
  </si>
  <si>
    <t xml:space="preserve">Disable public access and open link</t>
  </si>
  <si>
    <t xml:space="preserve">Private resume should not be accessible</t>
  </si>
  <si>
    <t xml:space="preserve">Private link inaccessible</t>
  </si>
  <si>
    <t xml:space="preserve">TC-023</t>
  </si>
  <si>
    <t xml:space="preserve">Restore public access</t>
  </si>
  <si>
    <t xml:space="preserve">Enable public access again</t>
  </si>
  <si>
    <t xml:space="preserve">Public link should become accessible</t>
  </si>
  <si>
    <t xml:space="preserve">Public link accessible again</t>
  </si>
  <si>
    <t xml:space="preserve">TC-024</t>
  </si>
  <si>
    <t xml:space="preserve">Public name display</t>
  </si>
  <si>
    <t xml:space="preserve">Open public resume after saving name</t>
  </si>
  <si>
    <t xml:space="preserve">Saved name should display</t>
  </si>
  <si>
    <t xml:space="preserve">Displayed default 'Your Name'</t>
  </si>
  <si>
    <t xml:space="preserve">BUG-003</t>
  </si>
  <si>
    <t xml:space="preserve">TC-025</t>
  </si>
  <si>
    <t xml:space="preserve">Verify other public fields</t>
  </si>
  <si>
    <t xml:space="preserve">Check email, summary, experience, education, projects, skills</t>
  </si>
  <si>
    <t xml:space="preserve">Saved fields should display</t>
  </si>
  <si>
    <t xml:space="preserve">Other verified fields displayed correctly</t>
  </si>
  <si>
    <t xml:space="preserve">TC-026</t>
  </si>
  <si>
    <t xml:space="preserve">Profile Photo</t>
  </si>
  <si>
    <t xml:space="preserve">Upload profile photo</t>
  </si>
  <si>
    <t xml:space="preserve">Select a valid profile image</t>
  </si>
  <si>
    <t xml:space="preserve">Image should upload</t>
  </si>
  <si>
    <t xml:space="preserve">Failed with imagekit.upload is not an function</t>
  </si>
  <si>
    <t xml:space="preserve">BUG-004</t>
  </si>
  <si>
    <t xml:space="preserve">TC-027</t>
  </si>
  <si>
    <t xml:space="preserve">Persistence</t>
  </si>
  <si>
    <t xml:space="preserve">Refresh after editing</t>
  </si>
  <si>
    <t xml:space="preserve">Make changes and refresh</t>
  </si>
  <si>
    <t xml:space="preserve">Saved changes should remain</t>
  </si>
  <si>
    <t xml:space="preserve">Changes remained except updated name</t>
  </si>
  <si>
    <t xml:space="preserve">BUG-005</t>
  </si>
  <si>
    <t xml:space="preserve">TC-028</t>
  </si>
  <si>
    <t xml:space="preserve">Logout and login again</t>
  </si>
  <si>
    <t xml:space="preserve">Logout then login</t>
  </si>
  <si>
    <t xml:space="preserve">Existing resume data should remain</t>
  </si>
  <si>
    <t xml:space="preserve">Resume data remained</t>
  </si>
  <si>
    <t xml:space="preserve">TC-029</t>
  </si>
  <si>
    <t xml:space="preserve">Valid name</t>
  </si>
  <si>
    <t xml:space="preserve">Enter valid name</t>
  </si>
  <si>
    <t xml:space="preserve">Name should be accepted</t>
  </si>
  <si>
    <t xml:space="preserve">Accepted</t>
  </si>
  <si>
    <t xml:space="preserve">TC-030</t>
  </si>
  <si>
    <t xml:space="preserve">Very long name</t>
  </si>
  <si>
    <t xml:space="preserve">Enter very long name</t>
  </si>
  <si>
    <t xml:space="preserve">Input should be handled</t>
  </si>
  <si>
    <t xml:space="preserve">Accepted/handled</t>
  </si>
  <si>
    <t xml:space="preserve">TC-031</t>
  </si>
  <si>
    <t xml:space="preserve">Special characters in name</t>
  </si>
  <si>
    <t xml:space="preserve">Enter name with special characters</t>
  </si>
  <si>
    <t xml:space="preserve">No issue observed</t>
  </si>
  <si>
    <t xml:space="preserve">TC-032</t>
  </si>
  <si>
    <t xml:space="preserve">Name persistence</t>
  </si>
  <si>
    <t xml:space="preserve">Change name and refresh</t>
  </si>
  <si>
    <t xml:space="preserve">Updated name should persist</t>
  </si>
  <si>
    <t xml:space="preserve">Updated name did not persist</t>
  </si>
  <si>
    <t xml:space="preserve">TC-033</t>
  </si>
  <si>
    <t xml:space="preserve">Add second experience</t>
  </si>
  <si>
    <t xml:space="preserve">Add another experience</t>
  </si>
  <si>
    <t xml:space="preserve">Second experience should be added</t>
  </si>
  <si>
    <t xml:space="preserve">Added successfully</t>
  </si>
  <si>
    <t xml:space="preserve">TC-034</t>
  </si>
  <si>
    <t xml:space="preserve">Edit experience</t>
  </si>
  <si>
    <t xml:space="preserve">Edit existing experience</t>
  </si>
  <si>
    <t xml:space="preserve">Changes should save</t>
  </si>
  <si>
    <t xml:space="preserve">Edited successfully</t>
  </si>
  <si>
    <t xml:space="preserve">TC-035</t>
  </si>
  <si>
    <t xml:space="preserve">Delete experience</t>
  </si>
  <si>
    <t xml:space="preserve">Delete existing experience</t>
  </si>
  <si>
    <t xml:space="preserve">Experience should be removed</t>
  </si>
  <si>
    <t xml:space="preserve">Deleted successfully</t>
  </si>
  <si>
    <t xml:space="preserve">TC-036</t>
  </si>
  <si>
    <t xml:space="preserve">Experience persistence</t>
  </si>
  <si>
    <t xml:space="preserve">Refresh after saving experience</t>
  </si>
  <si>
    <t xml:space="preserve">Experience should remain</t>
  </si>
  <si>
    <t xml:space="preserve">Experience remained</t>
  </si>
  <si>
    <t xml:space="preserve">TC-037</t>
  </si>
  <si>
    <t xml:space="preserve">Add/edit/delete education</t>
  </si>
  <si>
    <t xml:space="preserve">Perform add, edit and delete</t>
  </si>
  <si>
    <t xml:space="preserve">Changes should work</t>
  </si>
  <si>
    <t xml:space="preserve">Operations worked</t>
  </si>
  <si>
    <t xml:space="preserve">TC-038</t>
  </si>
  <si>
    <t xml:space="preserve">Add/edit/delete projects</t>
  </si>
  <si>
    <t xml:space="preserve">TC-039</t>
  </si>
  <si>
    <t xml:space="preserve">Add multiple skills</t>
  </si>
  <si>
    <t xml:space="preserve">Skills should be added</t>
  </si>
  <si>
    <t xml:space="preserve">TC-040</t>
  </si>
  <si>
    <t xml:space="preserve">Remove skill</t>
  </si>
  <si>
    <t xml:space="preserve">Remove existing skill</t>
  </si>
  <si>
    <t xml:space="preserve">Skill should be removed</t>
  </si>
  <si>
    <t xml:space="preserve">Removed successfully</t>
  </si>
  <si>
    <t xml:space="preserve">TC-041</t>
  </si>
  <si>
    <t xml:space="preserve">Skills persistence</t>
  </si>
  <si>
    <t xml:space="preserve">Refresh after saving skills</t>
  </si>
  <si>
    <t xml:space="preserve">Skills should remain</t>
  </si>
  <si>
    <t xml:space="preserve">Skills remained</t>
  </si>
  <si>
    <t xml:space="preserve">TC-042</t>
  </si>
  <si>
    <t xml:space="preserve">Authentication</t>
  </si>
  <si>
    <t xml:space="preserve">Logout</t>
  </si>
  <si>
    <t xml:space="preserve">Click logout</t>
  </si>
  <si>
    <t xml:space="preserve">User should be logged out</t>
  </si>
  <si>
    <t xml:space="preserve">Returned to Home/Landing</t>
  </si>
  <si>
    <t xml:space="preserve">TC-043</t>
  </si>
  <si>
    <t xml:space="preserve">Dashboard after logout</t>
  </si>
  <si>
    <t xml:space="preserve">Attempt dashboard while logged out</t>
  </si>
  <si>
    <t xml:space="preserve">Authentication should be required</t>
  </si>
  <si>
    <t xml:space="preserve">Login/signup required</t>
  </si>
  <si>
    <t xml:space="preserve">TC-044</t>
  </si>
  <si>
    <t xml:space="preserve">Login after logout</t>
  </si>
  <si>
    <t xml:space="preserve">Login again with valid credentials</t>
  </si>
  <si>
    <t xml:space="preserve">Dashboard opened</t>
  </si>
  <si>
    <t xml:space="preserve">TC-045</t>
  </si>
  <si>
    <t xml:space="preserve">Resume Deletion</t>
  </si>
  <si>
    <t xml:space="preserve">Delete resume</t>
  </si>
  <si>
    <t xml:space="preserve">Delete and confirm</t>
  </si>
  <si>
    <t xml:space="preserve">Resume should be deleted</t>
  </si>
  <si>
    <t xml:space="preserve">TC-046</t>
  </si>
  <si>
    <t xml:space="preserve">Old public link after deletion</t>
  </si>
  <si>
    <t xml:space="preserve">Open deleted resume public URL</t>
  </si>
  <si>
    <t xml:space="preserve">Deleted resume should not be accessible</t>
  </si>
  <si>
    <t xml:space="preserve">Resume not found</t>
  </si>
  <si>
    <t xml:space="preserve">TC-047</t>
  </si>
  <si>
    <t xml:space="preserve">Create after deletion</t>
  </si>
  <si>
    <t xml:space="preserve">Create QA Test Resume 2</t>
  </si>
  <si>
    <t xml:space="preserve">Editor should open</t>
  </si>
  <si>
    <t xml:space="preserve">Editor opened normally</t>
  </si>
  <si>
    <t xml:space="preserve">R-01</t>
  </si>
  <si>
    <t xml:space="preserve">Registration</t>
  </si>
  <si>
    <t xml:space="preserve">Blank registration fields</t>
  </si>
  <si>
    <t xml:space="preserve">Submit with required fields blank</t>
  </si>
  <si>
    <t xml:space="preserve">Please fill out this field appeared</t>
  </si>
  <si>
    <t xml:space="preserve">R-02</t>
  </si>
  <si>
    <t xml:space="preserve">Invalid registration email</t>
  </si>
  <si>
    <t xml:space="preserve">Enter invalid email</t>
  </si>
  <si>
    <t xml:space="preserve">Validation shown</t>
  </si>
  <si>
    <t xml:space="preserve">R-03</t>
  </si>
  <si>
    <t xml:space="preserve">Existing email</t>
  </si>
  <si>
    <t xml:space="preserve">Register with existing email</t>
  </si>
  <si>
    <t xml:space="preserve">Duplicate should be rejected</t>
  </si>
  <si>
    <t xml:space="preserve">User already exists message shown</t>
  </si>
  <si>
    <t xml:space="preserve">R-04</t>
  </si>
  <si>
    <t xml:space="preserve">Valid new registration</t>
  </si>
  <si>
    <t xml:space="preserve">Register valid new account</t>
  </si>
  <si>
    <t xml:space="preserve">Account should be created</t>
  </si>
  <si>
    <t xml:space="preserve">Account created successfully</t>
  </si>
  <si>
    <t xml:space="preserve">API-001</t>
  </si>
  <si>
    <t xml:space="preserve">Users</t>
  </si>
  <si>
    <t xml:space="preserve">Register valid user</t>
  </si>
  <si>
    <t xml:space="preserve">POST /api/users/register</t>
  </si>
  <si>
    <t xml:space="preserve">201 and user/token</t>
  </si>
  <si>
    <t xml:space="preserve">User created successfully; no password returned</t>
  </si>
  <si>
    <t xml:space="preserve">API-002</t>
  </si>
  <si>
    <t xml:space="preserve">Login valid user</t>
  </si>
  <si>
    <t xml:space="preserve">POST /api/users/login</t>
  </si>
  <si>
    <t xml:space="preserve">200 and token/user</t>
  </si>
  <si>
    <t xml:space="preserve">Login successful; no password returned</t>
  </si>
  <si>
    <t xml:space="preserve">API-003</t>
  </si>
  <si>
    <t xml:space="preserve">Wrong password</t>
  </si>
  <si>
    <t xml:space="preserve">POST login with wrong password</t>
  </si>
  <si>
    <t xml:space="preserve">Request rejected</t>
  </si>
  <si>
    <t xml:space="preserve">API-004</t>
  </si>
  <si>
    <t xml:space="preserve">Unknown email</t>
  </si>
  <si>
    <t xml:space="preserve">POST login with unknown email</t>
  </si>
  <si>
    <t xml:space="preserve">API-005</t>
  </si>
  <si>
    <t xml:space="preserve">Missing email</t>
  </si>
  <si>
    <t xml:space="preserve">POST register without email</t>
  </si>
  <si>
    <t xml:space="preserve">Missing required fields</t>
  </si>
  <si>
    <t xml:space="preserve">API-006</t>
  </si>
  <si>
    <t xml:space="preserve">Duplicate email</t>
  </si>
  <si>
    <t xml:space="preserve">POST register with existing email</t>
  </si>
  <si>
    <t xml:space="preserve">User Already exists</t>
  </si>
  <si>
    <t xml:space="preserve">API-007</t>
  </si>
  <si>
    <t xml:space="preserve">User data with valid token</t>
  </si>
  <si>
    <t xml:space="preserve">GET /api/users/data with valid token</t>
  </si>
  <si>
    <t xml:space="preserve">User data returned</t>
  </si>
  <si>
    <t xml:space="preserve">Matching user returned; no password</t>
  </si>
  <si>
    <t xml:space="preserve">API-008</t>
  </si>
  <si>
    <t xml:space="preserve">Auth</t>
  </si>
  <si>
    <t xml:space="preserve">User data without token</t>
  </si>
  <si>
    <t xml:space="preserve">GET /api/users/data without Authorization</t>
  </si>
  <si>
    <t xml:space="preserve">401 expected</t>
  </si>
  <si>
    <t xml:space="preserve">Unauthorized. No token provided.</t>
  </si>
  <si>
    <t xml:space="preserve">API-009</t>
  </si>
  <si>
    <t xml:space="preserve">User data with fake token</t>
  </si>
  <si>
    <t xml:space="preserve">GET /api/users/data with invalid token</t>
  </si>
  <si>
    <t xml:space="preserve">Unauthorized. Invalid token.</t>
  </si>
  <si>
    <t xml:space="preserve">API-010</t>
  </si>
  <si>
    <t xml:space="preserve">Resumes</t>
  </si>
  <si>
    <t xml:space="preserve">Get user resumes</t>
  </si>
  <si>
    <t xml:space="preserve">GET /api/users/resumes</t>
  </si>
  <si>
    <t xml:space="preserve">Resume list returned</t>
  </si>
  <si>
    <t xml:space="preserve">Valid resume list returned</t>
  </si>
  <si>
    <t xml:space="preserve">API-011</t>
  </si>
  <si>
    <t xml:space="preserve">Create resume</t>
  </si>
  <si>
    <t xml:space="preserve">POST /api/resumes/create</t>
  </si>
  <si>
    <t xml:space="preserve">Resume created</t>
  </si>
  <si>
    <t xml:space="preserve">Resume created successfully with ID</t>
  </si>
  <si>
    <t xml:space="preserve">API-012</t>
  </si>
  <si>
    <t xml:space="preserve">List resumes</t>
  </si>
  <si>
    <t xml:space="preserve">GET /api/resumes/</t>
  </si>
  <si>
    <t xml:space="preserve">Created resume returned</t>
  </si>
  <si>
    <t xml:space="preserve">API Test Resume returned</t>
  </si>
  <si>
    <t xml:space="preserve">API-013</t>
  </si>
  <si>
    <t xml:space="preserve">Get resume by ID</t>
  </si>
  <si>
    <t xml:space="preserve">GET /api/resumes/get/:resumeId</t>
  </si>
  <si>
    <t xml:space="preserve">Specific resume returned</t>
  </si>
  <si>
    <t xml:space="preserve">Correct resume returned</t>
  </si>
  <si>
    <t xml:space="preserve">API-014</t>
  </si>
  <si>
    <t xml:space="preserve">Update resume</t>
  </si>
  <si>
    <t xml:space="preserve">PUT /api/resumes/update/:resumeId</t>
  </si>
  <si>
    <t xml:space="preserve">Resume updated</t>
  </si>
  <si>
    <t xml:space="preserve">Update successful; title changed</t>
  </si>
  <si>
    <t xml:space="preserve">API-015</t>
  </si>
  <si>
    <t xml:space="preserve">Private public endpoint</t>
  </si>
  <si>
    <t xml:space="preserve">GET public/:resumeId while private</t>
  </si>
  <si>
    <t xml:space="preserve">Private resume rejected</t>
  </si>
  <si>
    <t xml:space="preserve">API-016</t>
  </si>
  <si>
    <t xml:space="preserve">PUT update public=true</t>
  </si>
  <si>
    <t xml:space="preserve">Public flag updated</t>
  </si>
  <si>
    <t xml:space="preserve">Public became true</t>
  </si>
  <si>
    <t xml:space="preserve">API-017</t>
  </si>
  <si>
    <t xml:space="preserve">Get public resume</t>
  </si>
  <si>
    <t xml:space="preserve">GET public/:resumeId without auth</t>
  </si>
  <si>
    <t xml:space="preserve">Public resume returned</t>
  </si>
  <si>
    <t xml:space="preserve">Full public resume returned</t>
  </si>
  <si>
    <t xml:space="preserve">API-018</t>
  </si>
  <si>
    <t xml:space="preserve">AI</t>
  </si>
  <si>
    <t xml:space="preserve">Enhance professional summary</t>
  </si>
  <si>
    <t xml:space="preserve">POST /api/ai/enhance-pro-sum</t>
  </si>
  <si>
    <t xml:space="preserve">Enhanced content returned</t>
  </si>
  <si>
    <t xml:space="preserve">EnhancedContent returned</t>
  </si>
  <si>
    <t xml:space="preserve">API-019</t>
  </si>
  <si>
    <t xml:space="preserve">Enhance job description</t>
  </si>
  <si>
    <t xml:space="preserve">POST /api/ai/enhance-job-desc</t>
  </si>
  <si>
    <t xml:space="preserve">One clean enhancement expected</t>
  </si>
  <si>
    <t xml:space="preserve">Multiple options/explanations/placeholders; initial attempts timed out</t>
  </si>
  <si>
    <t xml:space="preserve">BUG-006, BUG-007</t>
  </si>
  <si>
    <t xml:space="preserve">API-020</t>
  </si>
  <si>
    <t xml:space="preserve">Upload existing resume</t>
  </si>
  <si>
    <t xml:space="preserve">POST /api/ai/upload-resume</t>
  </si>
  <si>
    <t xml:space="preserve">Resume ID returned</t>
  </si>
  <si>
    <t xml:space="preserve">API-021</t>
  </si>
  <si>
    <t xml:space="preserve">DELETE /api/resumes/delete/:resumeId</t>
  </si>
  <si>
    <t xml:space="preserve">Resume deleted</t>
  </si>
  <si>
    <t xml:space="preserve">Resume deleted successfully</t>
  </si>
  <si>
    <t xml:space="preserve">DB-001</t>
  </si>
  <si>
    <t xml:space="preserve">Verify user record</t>
  </si>
  <si>
    <t xml:space="preserve">Check users collection</t>
  </si>
  <si>
    <t xml:space="preserve">Correct user record with protected password storage</t>
  </si>
  <si>
    <t xml:space="preserve">User found; password stored as bcrypt hash</t>
  </si>
  <si>
    <t xml:space="preserve">DB-002</t>
  </si>
  <si>
    <t xml:space="preserve">Verify deleted resume</t>
  </si>
  <si>
    <t xml:space="preserve">Check deleted resume ID</t>
  </si>
  <si>
    <t xml:space="preserve">Deleted resume absent</t>
  </si>
  <si>
    <t xml:space="preserve">Deleted resume not found</t>
  </si>
  <si>
    <t xml:space="preserve">DB-003</t>
  </si>
  <si>
    <t xml:space="preserve">Verify uploaded resume</t>
  </si>
  <si>
    <t xml:space="preserve">Check uploaded resume ID</t>
  </si>
  <si>
    <t xml:space="preserve">Uploaded data persisted</t>
  </si>
  <si>
    <t xml:space="preserve">Expected resume document found</t>
  </si>
  <si>
    <t xml:space="preserve">DB-004</t>
  </si>
  <si>
    <t xml:space="preserve">Verify user-resume relationship</t>
  </si>
  <si>
    <t xml:space="preserve">Compare userId values</t>
  </si>
  <si>
    <t xml:space="preserve">IDs should match</t>
  </si>
  <si>
    <t xml:space="preserve">userId matched test user</t>
  </si>
  <si>
    <t xml:space="preserve">DB-005</t>
  </si>
  <si>
    <t xml:space="preserve">API-to-DB consistency</t>
  </si>
  <si>
    <t xml:space="preserve">Compare API result with MongoDB</t>
  </si>
  <si>
    <t xml:space="preserve">Persisted data should match</t>
  </si>
  <si>
    <t xml:space="preserve">Consistency confirmed</t>
  </si>
  <si>
    <t xml:space="preserve">AI Resume Builder – QA Test Sheet</t>
  </si>
  <si>
    <t xml:space="preserve">Purpose</t>
  </si>
  <si>
    <t xml:space="preserve">Detailed record of executed QA tests</t>
  </si>
  <si>
    <t xml:space="preserve">Scope</t>
  </si>
  <si>
    <t xml:space="preserve">Manual UI, Registration, API and Database testing</t>
  </si>
  <si>
    <t xml:space="preserve">Automation</t>
  </si>
  <si>
    <t xml:space="preserve">3 Playwright UI tests executed separately (see Automation sheet); not included in the 77 below</t>
  </si>
  <si>
    <t xml:space="preserve">Category</t>
  </si>
  <si>
    <t xml:space="preserve">Executed</t>
  </si>
  <si>
    <t xml:space="preserve">Pass</t>
  </si>
  <si>
    <t xml:space="preserve">Fail</t>
  </si>
  <si>
    <t xml:space="preserve">Manual / UI / Registration</t>
  </si>
  <si>
    <t xml:space="preserve">API</t>
  </si>
  <si>
    <t xml:space="preserve">TOTAL</t>
  </si>
  <si>
    <t xml:space="preserve">Note</t>
  </si>
  <si>
    <t xml:space="preserve">Counts reflect only tests actually executed and observed. No unexecuted automation tests are presented as completed.</t>
  </si>
  <si>
    <t xml:space="preserve">Documented defects</t>
  </si>
  <si>
    <t xml:space="preserve">Regression status</t>
  </si>
  <si>
    <t xml:space="preserve">Not a post-fix regression cycle; critical-flow recheck/follow-up is separate.</t>
  </si>
  <si>
    <t xml:space="preserve">Automation (separate)</t>
  </si>
  <si>
    <t xml:space="preserve">Playwright UI (mocked API)</t>
  </si>
  <si>
    <t xml:space="preserve">Bug ID</t>
  </si>
  <si>
    <t xml:space="preserve">Title</t>
  </si>
  <si>
    <t xml:space="preserve">Severity</t>
  </si>
  <si>
    <t xml:space="preserve">Priority</t>
  </si>
  <si>
    <t xml:space="preserve">Steps to Reproduce</t>
  </si>
  <si>
    <t xml:space="preserve">Test Case Ref</t>
  </si>
  <si>
    <t xml:space="preserve">Date Reported</t>
  </si>
  <si>
    <t xml:space="preserve">Environment</t>
  </si>
  <si>
    <t xml:space="preserve">Required email allows progression when empty</t>
  </si>
  <si>
    <t xml:space="preserve">Medium</t>
  </si>
  <si>
    <t xml:space="preserve">1. Log in and create a resume.
2. Open Personal Info.
3. Leave Email blank.
4. Click Continue.</t>
  </si>
  <si>
    <t xml:space="preserve">User could continue with email blank</t>
  </si>
  <si>
    <t xml:space="preserve">Open / Reported</t>
  </si>
  <si>
    <t xml:space="preserve">7 Oct 2026</t>
  </si>
  <si>
    <t xml:space="preserve">Frontend: Vercel; Backend: Render; DB: MongoDB Atlas</t>
  </si>
  <si>
    <t xml:space="preserve">Invalid email format accepted</t>
  </si>
  <si>
    <t xml:space="preserve">1. Open Personal Info in the resume editor.
2. Enter aditi123 in Email.
3. Click Continue.</t>
  </si>
  <si>
    <t xml:space="preserve">Invalid email such as aditi123 was accepted</t>
  </si>
  <si>
    <t xml:space="preserve">Public Resume Sharing</t>
  </si>
  <si>
    <t xml:space="preserve">Public resume displays default name</t>
  </si>
  <si>
    <t xml:space="preserve">High</t>
  </si>
  <si>
    <t xml:space="preserve">1. Save a name in Personal Info.
2. Enable the public toggle.
3. Open the public resume link.</t>
  </si>
  <si>
    <t xml:space="preserve">Saved name should appear publicly</t>
  </si>
  <si>
    <t xml:space="preserve">Public page displayed 'Your Name'</t>
  </si>
  <si>
    <t xml:space="preserve">Profile photo upload fails</t>
  </si>
  <si>
    <t xml:space="preserve">1. Open Personal Info.
2. Select a valid profile image.
3. Upload it.</t>
  </si>
  <si>
    <t xml:space="preserve">Valid photo should upload</t>
  </si>
  <si>
    <t xml:space="preserve">Upload failed with 'imagekit.upload is not an function'</t>
  </si>
  <si>
    <t xml:space="preserve">Personal Info / Persistence</t>
  </si>
  <si>
    <t xml:space="preserve">Updated name does not persist after refresh</t>
  </si>
  <si>
    <t xml:space="preserve">1. Change the name in Personal Info.
2. Save.
3. Refresh the page.</t>
  </si>
  <si>
    <t xml:space="preserve">Name did not persist while other changes remained</t>
  </si>
  <si>
    <t xml:space="preserve">TC-027, TC-032</t>
  </si>
  <si>
    <t xml:space="preserve">AI API</t>
  </si>
  <si>
    <t xml:space="preserve">Job-description enhancement returns mixed response instead of one clean result</t>
  </si>
  <si>
    <t xml:space="preserve">1. In Experience, enter a job description and use AI enhancement.
   (API: POST /api/ai/enhance-job-desc)</t>
  </si>
  <si>
    <t xml:space="preserve">TC-015, API-019</t>
  </si>
  <si>
    <t xml:space="preserve">BUG-007</t>
  </si>
  <si>
    <t xml:space="preserve">Initial job-description enhancement API attempts timed out</t>
  </si>
  <si>
    <t xml:space="preserve">Low</t>
  </si>
  <si>
    <t xml:space="preserve">1. Send POST /api/ai/enhance-job-desc.
2. Observe the first attempts.</t>
  </si>
  <si>
    <t xml:space="preserve">API should respond within a reasonable time</t>
  </si>
  <si>
    <t xml:space="preserve">Initial attempts timed out; a later attempt returned a response. Root cause not established.</t>
  </si>
  <si>
    <t xml:space="preserve">Test ID</t>
  </si>
  <si>
    <t xml:space="preserve">Scenario</t>
  </si>
  <si>
    <t xml:space="preserve">Steps</t>
  </si>
  <si>
    <t xml:space="preserve">Tool / Browser</t>
  </si>
  <si>
    <t xml:space="preserve">Run Date</t>
  </si>
  <si>
    <t xml:space="preserve">AUTO-001</t>
  </si>
  <si>
    <t xml:space="preserve">Login with valid credentials</t>
  </si>
  <si>
    <t xml:space="preserve">1. Open /app
2. Enter valid email and password
3. Click Login</t>
  </si>
  <si>
    <t xml:space="preserve">Success message shown; dashboard with Create Resume and Logout opens</t>
  </si>
  <si>
    <t xml:space="preserve">Matched expected result</t>
  </si>
  <si>
    <t xml:space="preserve">Playwright 1.56.0 / Chromium</t>
  </si>
  <si>
    <t xml:space="preserve">8 Oct 2026</t>
  </si>
  <si>
    <t xml:space="preserve">Real frontend code run locally; backend API mocked (UI only, not live API/DB)</t>
  </si>
  <si>
    <t xml:space="preserve">AUTO-002</t>
  </si>
  <si>
    <t xml:space="preserve">Login with wrong password</t>
  </si>
  <si>
    <t xml:space="preserve">1. Open /app
2. Enter email and wrong password
3. Click Login</t>
  </si>
  <si>
    <t xml:space="preserve">'Invalid email or password' shown; user stays on login; no Logout button</t>
  </si>
  <si>
    <t xml:space="preserve">AUTO-003</t>
  </si>
  <si>
    <t xml:space="preserve">Create resume with title</t>
  </si>
  <si>
    <t xml:space="preserve">1. Open dashboard (logged in)
2. Click Create Resume
3. Enter title Aditi QA Resume
4. Submit</t>
  </si>
  <si>
    <t xml:space="preserve">Resume builder opens at /app/builder/&lt;id&gt;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</si>
</sst>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ptos"/>
      <family val="0"/>
      <charset val="1"/>
    </font>
    <font>
      <b val="true"/>
      <sz val="10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6"/>
      <name val="Aptos"/>
      <family val="0"/>
      <charset val="1"/>
    </font>
    <font>
      <i val="true"/>
      <sz val="10"/>
      <name val="Apto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5"/>
  </cols>
  <sheetData>
    <row r="1" customFormat="false" ht="23.2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2" t="s">
        <v>2</v>
      </c>
    </row>
    <row r="3" customFormat="false" ht="15" hidden="false" customHeight="true" outlineLevel="0" collapsed="false">
      <c r="A3" s="3" t="s">
        <v>3</v>
      </c>
      <c r="B3" s="2" t="s">
        <v>4</v>
      </c>
    </row>
    <row r="4" customFormat="false" ht="15" hidden="false" customHeight="true" outlineLevel="0" collapsed="false">
      <c r="A4" s="3" t="s">
        <v>5</v>
      </c>
      <c r="B4" s="2" t="s">
        <v>6</v>
      </c>
    </row>
    <row r="5" customFormat="false" ht="15" hidden="false" customHeight="true" outlineLevel="0" collapsed="false">
      <c r="A5" s="3" t="s">
        <v>7</v>
      </c>
      <c r="B5" s="2" t="s">
        <v>8</v>
      </c>
    </row>
    <row r="6" customFormat="false" ht="15" hidden="false" customHeight="true" outlineLevel="0" collapsed="false">
      <c r="A6" s="3" t="s">
        <v>9</v>
      </c>
      <c r="B6" s="2" t="s">
        <v>10</v>
      </c>
    </row>
    <row r="7" customFormat="false" ht="15" hidden="false" customHeight="true" outlineLevel="0" collapsed="false">
      <c r="A7" s="3" t="s">
        <v>11</v>
      </c>
      <c r="B7" s="2" t="s">
        <v>12</v>
      </c>
    </row>
    <row r="8" customFormat="false" ht="15" hidden="false" customHeight="true" outlineLevel="0" collapsed="false">
      <c r="A8" s="3" t="s">
        <v>13</v>
      </c>
      <c r="B8" s="2" t="s">
        <v>14</v>
      </c>
    </row>
    <row r="9" customFormat="false" ht="15" hidden="false" customHeight="true" outlineLevel="0" collapsed="false">
      <c r="A9" s="3" t="s">
        <v>15</v>
      </c>
      <c r="B9" s="2" t="s">
        <v>16</v>
      </c>
    </row>
    <row r="10" customFormat="false" ht="15" hidden="false" customHeight="true" outlineLevel="0" collapsed="false">
      <c r="A10" s="3"/>
      <c r="B10" s="2"/>
    </row>
    <row r="11" customFormat="false" ht="15" hidden="false" customHeight="true" outlineLevel="0" collapsed="false">
      <c r="A11" s="3" t="s">
        <v>17</v>
      </c>
      <c r="B11" s="2" t="s">
        <v>18</v>
      </c>
    </row>
    <row r="12" customFormat="false" ht="23.25" hidden="false" customHeight="true" outlineLevel="0" collapsed="false">
      <c r="A12" s="3" t="s">
        <v>19</v>
      </c>
      <c r="B12" s="2" t="s">
        <v>20</v>
      </c>
    </row>
    <row r="13" customFormat="false" ht="23.25" hidden="false" customHeight="true" outlineLevel="0" collapsed="false">
      <c r="A13" s="3" t="s">
        <v>21</v>
      </c>
      <c r="B13" s="2" t="s">
        <v>22</v>
      </c>
    </row>
    <row r="14" customFormat="false" ht="15" hidden="false" customHeight="true" outlineLevel="0" collapsed="false">
      <c r="A14" s="3" t="s">
        <v>23</v>
      </c>
      <c r="B14" s="2" t="s">
        <v>24</v>
      </c>
    </row>
  </sheetData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5" min="4" style="1" width="42"/>
    <col collapsed="false" customWidth="true" hidden="false" outlineLevel="0" max="6" min="6" style="1" width="48"/>
    <col collapsed="false" customWidth="true" hidden="false" outlineLevel="0" max="7" min="7" style="1" width="12"/>
    <col collapsed="false" customWidth="true" hidden="false" outlineLevel="0" max="8" min="8" style="1" width="14"/>
  </cols>
  <sheetData>
    <row r="1" customFormat="false" ht="23.25" hidden="false" customHeight="tru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customFormat="false" ht="15" hidden="false" customHeight="true" outlineLevel="0" collapsed="false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6"/>
    </row>
    <row r="3" customFormat="false" ht="15" hidden="false" customHeight="true" outlineLevel="0" collapsed="false">
      <c r="A3" s="5" t="s">
        <v>40</v>
      </c>
      <c r="B3" s="5" t="s">
        <v>34</v>
      </c>
      <c r="C3" s="5" t="s">
        <v>41</v>
      </c>
      <c r="D3" s="5" t="s">
        <v>42</v>
      </c>
      <c r="E3" s="5" t="s">
        <v>43</v>
      </c>
      <c r="F3" s="5" t="s">
        <v>44</v>
      </c>
      <c r="G3" s="5" t="s">
        <v>39</v>
      </c>
      <c r="H3" s="6"/>
    </row>
    <row r="4" customFormat="false" ht="15" hidden="false" customHeight="true" outlineLevel="0" collapsed="false">
      <c r="A4" s="5" t="s">
        <v>45</v>
      </c>
      <c r="B4" s="5" t="s">
        <v>34</v>
      </c>
      <c r="C4" s="5" t="s">
        <v>46</v>
      </c>
      <c r="D4" s="5" t="s">
        <v>47</v>
      </c>
      <c r="E4" s="5" t="s">
        <v>48</v>
      </c>
      <c r="F4" s="5" t="s">
        <v>49</v>
      </c>
      <c r="G4" s="5" t="s">
        <v>39</v>
      </c>
      <c r="H4" s="6"/>
    </row>
    <row r="5" customFormat="false" ht="23.25" hidden="false" customHeight="true" outlineLevel="0" collapsed="false">
      <c r="A5" s="5" t="s">
        <v>50</v>
      </c>
      <c r="B5" s="5" t="s">
        <v>34</v>
      </c>
      <c r="C5" s="5" t="s">
        <v>51</v>
      </c>
      <c r="D5" s="5" t="s">
        <v>52</v>
      </c>
      <c r="E5" s="5" t="s">
        <v>48</v>
      </c>
      <c r="F5" s="5" t="s">
        <v>49</v>
      </c>
      <c r="G5" s="5" t="s">
        <v>39</v>
      </c>
      <c r="H5" s="6"/>
    </row>
    <row r="6" customFormat="false" ht="15" hidden="false" customHeight="true" outlineLevel="0" collapsed="false">
      <c r="A6" s="5" t="s">
        <v>53</v>
      </c>
      <c r="B6" s="5" t="s">
        <v>34</v>
      </c>
      <c r="C6" s="5" t="s">
        <v>54</v>
      </c>
      <c r="D6" s="5" t="s">
        <v>55</v>
      </c>
      <c r="E6" s="5" t="s">
        <v>56</v>
      </c>
      <c r="F6" s="5" t="s">
        <v>57</v>
      </c>
      <c r="G6" s="5" t="s">
        <v>39</v>
      </c>
      <c r="H6" s="6"/>
    </row>
    <row r="7" customFormat="false" ht="15" hidden="false" customHeight="true" outlineLevel="0" collapsed="false">
      <c r="A7" s="5" t="s">
        <v>58</v>
      </c>
      <c r="B7" s="5" t="s">
        <v>59</v>
      </c>
      <c r="C7" s="5" t="s">
        <v>60</v>
      </c>
      <c r="D7" s="5" t="s">
        <v>61</v>
      </c>
      <c r="E7" s="5" t="s">
        <v>62</v>
      </c>
      <c r="F7" s="5" t="s">
        <v>63</v>
      </c>
      <c r="G7" s="5" t="s">
        <v>39</v>
      </c>
      <c r="H7" s="6"/>
    </row>
    <row r="8" customFormat="false" ht="15" hidden="false" customHeight="true" outlineLevel="0" collapsed="false">
      <c r="A8" s="5" t="s">
        <v>64</v>
      </c>
      <c r="B8" s="5" t="s">
        <v>65</v>
      </c>
      <c r="C8" s="5" t="s">
        <v>66</v>
      </c>
      <c r="D8" s="5" t="s">
        <v>67</v>
      </c>
      <c r="E8" s="5" t="s">
        <v>68</v>
      </c>
      <c r="F8" s="5" t="s">
        <v>69</v>
      </c>
      <c r="G8" s="5" t="s">
        <v>39</v>
      </c>
      <c r="H8" s="6"/>
    </row>
    <row r="9" customFormat="false" ht="15" hidden="false" customHeight="true" outlineLevel="0" collapsed="false">
      <c r="A9" s="5" t="s">
        <v>70</v>
      </c>
      <c r="B9" s="5" t="s">
        <v>65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39</v>
      </c>
      <c r="H9" s="6"/>
    </row>
    <row r="10" customFormat="false" ht="15" hidden="false" customHeight="true" outlineLevel="0" collapsed="false">
      <c r="A10" s="5" t="s">
        <v>75</v>
      </c>
      <c r="B10" s="5" t="s">
        <v>76</v>
      </c>
      <c r="C10" s="5" t="s">
        <v>77</v>
      </c>
      <c r="D10" s="5" t="s">
        <v>78</v>
      </c>
      <c r="E10" s="5" t="s">
        <v>79</v>
      </c>
      <c r="F10" s="5" t="s">
        <v>80</v>
      </c>
      <c r="G10" s="5" t="s">
        <v>81</v>
      </c>
      <c r="H10" s="6" t="s">
        <v>82</v>
      </c>
    </row>
    <row r="11" customFormat="false" ht="15" hidden="false" customHeight="true" outlineLevel="0" collapsed="false">
      <c r="A11" s="5" t="s">
        <v>83</v>
      </c>
      <c r="B11" s="5" t="s">
        <v>76</v>
      </c>
      <c r="C11" s="5" t="s">
        <v>84</v>
      </c>
      <c r="D11" s="5" t="s">
        <v>85</v>
      </c>
      <c r="E11" s="5" t="s">
        <v>86</v>
      </c>
      <c r="F11" s="5" t="s">
        <v>87</v>
      </c>
      <c r="G11" s="5" t="s">
        <v>39</v>
      </c>
      <c r="H11" s="6"/>
    </row>
    <row r="12" customFormat="false" ht="15" hidden="false" customHeight="true" outlineLevel="0" collapsed="false">
      <c r="A12" s="5" t="s">
        <v>88</v>
      </c>
      <c r="B12" s="5" t="s">
        <v>76</v>
      </c>
      <c r="C12" s="5" t="s">
        <v>89</v>
      </c>
      <c r="D12" s="5" t="s">
        <v>90</v>
      </c>
      <c r="E12" s="5" t="s">
        <v>43</v>
      </c>
      <c r="F12" s="5" t="s">
        <v>91</v>
      </c>
      <c r="G12" s="5" t="s">
        <v>81</v>
      </c>
      <c r="H12" s="6" t="s">
        <v>92</v>
      </c>
    </row>
    <row r="13" customFormat="false" ht="23.25" hidden="false" customHeight="true" outlineLevel="0" collapsed="false">
      <c r="A13" s="5" t="s">
        <v>93</v>
      </c>
      <c r="B13" s="5" t="s">
        <v>94</v>
      </c>
      <c r="C13" s="5" t="s">
        <v>95</v>
      </c>
      <c r="D13" s="5" t="s">
        <v>96</v>
      </c>
      <c r="E13" s="5" t="s">
        <v>97</v>
      </c>
      <c r="F13" s="5" t="s">
        <v>98</v>
      </c>
      <c r="G13" s="5" t="s">
        <v>39</v>
      </c>
      <c r="H13" s="6"/>
    </row>
    <row r="14" customFormat="false" ht="23.25" hidden="false" customHeight="true" outlineLevel="0" collapsed="false">
      <c r="A14" s="5" t="s">
        <v>99</v>
      </c>
      <c r="B14" s="5" t="s">
        <v>94</v>
      </c>
      <c r="C14" s="5" t="s">
        <v>100</v>
      </c>
      <c r="D14" s="5" t="s">
        <v>101</v>
      </c>
      <c r="E14" s="5" t="s">
        <v>102</v>
      </c>
      <c r="F14" s="5" t="s">
        <v>103</v>
      </c>
      <c r="G14" s="5" t="s">
        <v>39</v>
      </c>
      <c r="H14" s="6"/>
    </row>
    <row r="15" customFormat="false" ht="15" hidden="false" customHeight="true" outlineLevel="0" collapsed="false">
      <c r="A15" s="5" t="s">
        <v>104</v>
      </c>
      <c r="B15" s="5" t="s">
        <v>105</v>
      </c>
      <c r="C15" s="5" t="s">
        <v>106</v>
      </c>
      <c r="D15" s="5" t="s">
        <v>107</v>
      </c>
      <c r="E15" s="5" t="s">
        <v>108</v>
      </c>
      <c r="F15" s="5" t="s">
        <v>109</v>
      </c>
      <c r="G15" s="5" t="s">
        <v>39</v>
      </c>
      <c r="H15" s="6"/>
    </row>
    <row r="16" customFormat="false" ht="23.25" hidden="false" customHeight="true" outlineLevel="0" collapsed="false">
      <c r="A16" s="5" t="s">
        <v>110</v>
      </c>
      <c r="B16" s="5" t="s">
        <v>105</v>
      </c>
      <c r="C16" s="5" t="s">
        <v>111</v>
      </c>
      <c r="D16" s="5" t="s">
        <v>112</v>
      </c>
      <c r="E16" s="5" t="s">
        <v>113</v>
      </c>
      <c r="F16" s="5" t="s">
        <v>114</v>
      </c>
      <c r="G16" s="5" t="s">
        <v>81</v>
      </c>
      <c r="H16" s="6" t="s">
        <v>115</v>
      </c>
    </row>
    <row r="17" customFormat="false" ht="15" hidden="false" customHeight="true" outlineLevel="0" collapsed="false">
      <c r="A17" s="5" t="s">
        <v>116</v>
      </c>
      <c r="B17" s="5" t="s">
        <v>105</v>
      </c>
      <c r="C17" s="5" t="s">
        <v>117</v>
      </c>
      <c r="D17" s="5" t="s">
        <v>118</v>
      </c>
      <c r="E17" s="5" t="s">
        <v>119</v>
      </c>
      <c r="F17" s="5" t="s">
        <v>120</v>
      </c>
      <c r="G17" s="5" t="s">
        <v>39</v>
      </c>
      <c r="H17" s="6"/>
    </row>
    <row r="18" customFormat="false" ht="15" hidden="false" customHeight="true" outlineLevel="0" collapsed="false">
      <c r="A18" s="5" t="s">
        <v>121</v>
      </c>
      <c r="B18" s="5" t="s">
        <v>122</v>
      </c>
      <c r="C18" s="5" t="s">
        <v>123</v>
      </c>
      <c r="D18" s="5" t="s">
        <v>124</v>
      </c>
      <c r="E18" s="5" t="s">
        <v>125</v>
      </c>
      <c r="F18" s="5" t="s">
        <v>126</v>
      </c>
      <c r="G18" s="5" t="s">
        <v>39</v>
      </c>
      <c r="H18" s="6"/>
    </row>
    <row r="19" customFormat="false" ht="15" hidden="false" customHeight="true" outlineLevel="0" collapsed="false">
      <c r="A19" s="5" t="s">
        <v>127</v>
      </c>
      <c r="B19" s="5" t="s">
        <v>128</v>
      </c>
      <c r="C19" s="5" t="s">
        <v>129</v>
      </c>
      <c r="D19" s="5" t="s">
        <v>130</v>
      </c>
      <c r="E19" s="5" t="s">
        <v>125</v>
      </c>
      <c r="F19" s="5" t="s">
        <v>131</v>
      </c>
      <c r="G19" s="5" t="s">
        <v>39</v>
      </c>
      <c r="H19" s="6"/>
    </row>
    <row r="20" customFormat="false" ht="15" hidden="false" customHeight="true" outlineLevel="0" collapsed="false">
      <c r="A20" s="5" t="s">
        <v>132</v>
      </c>
      <c r="B20" s="5" t="s">
        <v>133</v>
      </c>
      <c r="C20" s="5" t="s">
        <v>134</v>
      </c>
      <c r="D20" s="5" t="s">
        <v>135</v>
      </c>
      <c r="E20" s="5" t="s">
        <v>125</v>
      </c>
      <c r="F20" s="5" t="s">
        <v>136</v>
      </c>
      <c r="G20" s="5" t="s">
        <v>39</v>
      </c>
      <c r="H20" s="6"/>
    </row>
    <row r="21" customFormat="false" ht="15" hidden="false" customHeight="true" outlineLevel="0" collapsed="false">
      <c r="A21" s="5" t="s">
        <v>137</v>
      </c>
      <c r="B21" s="5" t="s">
        <v>138</v>
      </c>
      <c r="C21" s="5" t="s">
        <v>139</v>
      </c>
      <c r="D21" s="5" t="s">
        <v>140</v>
      </c>
      <c r="E21" s="5" t="s">
        <v>141</v>
      </c>
      <c r="F21" s="5" t="s">
        <v>142</v>
      </c>
      <c r="G21" s="5" t="s">
        <v>39</v>
      </c>
      <c r="H21" s="6"/>
    </row>
    <row r="22" customFormat="false" ht="15" hidden="false" customHeight="true" outlineLevel="0" collapsed="false">
      <c r="A22" s="5" t="s">
        <v>143</v>
      </c>
      <c r="B22" s="5" t="s">
        <v>144</v>
      </c>
      <c r="C22" s="5" t="s">
        <v>145</v>
      </c>
      <c r="D22" s="5" t="s">
        <v>146</v>
      </c>
      <c r="E22" s="5" t="s">
        <v>147</v>
      </c>
      <c r="F22" s="5" t="s">
        <v>148</v>
      </c>
      <c r="G22" s="5" t="s">
        <v>39</v>
      </c>
      <c r="H22" s="6"/>
    </row>
    <row r="23" customFormat="false" ht="15" hidden="false" customHeight="true" outlineLevel="0" collapsed="false">
      <c r="A23" s="5" t="s">
        <v>149</v>
      </c>
      <c r="B23" s="5" t="s">
        <v>144</v>
      </c>
      <c r="C23" s="5" t="s">
        <v>150</v>
      </c>
      <c r="D23" s="5" t="s">
        <v>151</v>
      </c>
      <c r="E23" s="5" t="s">
        <v>152</v>
      </c>
      <c r="F23" s="5" t="s">
        <v>153</v>
      </c>
      <c r="G23" s="5" t="s">
        <v>39</v>
      </c>
      <c r="H23" s="6"/>
    </row>
    <row r="24" customFormat="false" ht="15" hidden="false" customHeight="true" outlineLevel="0" collapsed="false">
      <c r="A24" s="5" t="s">
        <v>154</v>
      </c>
      <c r="B24" s="5" t="s">
        <v>144</v>
      </c>
      <c r="C24" s="5" t="s">
        <v>155</v>
      </c>
      <c r="D24" s="5" t="s">
        <v>156</v>
      </c>
      <c r="E24" s="5" t="s">
        <v>157</v>
      </c>
      <c r="F24" s="5" t="s">
        <v>158</v>
      </c>
      <c r="G24" s="5" t="s">
        <v>39</v>
      </c>
      <c r="H24" s="6"/>
    </row>
    <row r="25" customFormat="false" ht="15" hidden="false" customHeight="true" outlineLevel="0" collapsed="false">
      <c r="A25" s="5" t="s">
        <v>159</v>
      </c>
      <c r="B25" s="5" t="s">
        <v>144</v>
      </c>
      <c r="C25" s="5" t="s">
        <v>160</v>
      </c>
      <c r="D25" s="5" t="s">
        <v>161</v>
      </c>
      <c r="E25" s="5" t="s">
        <v>162</v>
      </c>
      <c r="F25" s="5" t="s">
        <v>163</v>
      </c>
      <c r="G25" s="5" t="s">
        <v>81</v>
      </c>
      <c r="H25" s="6" t="s">
        <v>164</v>
      </c>
    </row>
    <row r="26" customFormat="false" ht="23.25" hidden="false" customHeight="true" outlineLevel="0" collapsed="false">
      <c r="A26" s="5" t="s">
        <v>165</v>
      </c>
      <c r="B26" s="5" t="s">
        <v>144</v>
      </c>
      <c r="C26" s="5" t="s">
        <v>166</v>
      </c>
      <c r="D26" s="5" t="s">
        <v>167</v>
      </c>
      <c r="E26" s="5" t="s">
        <v>168</v>
      </c>
      <c r="F26" s="5" t="s">
        <v>169</v>
      </c>
      <c r="G26" s="5" t="s">
        <v>39</v>
      </c>
      <c r="H26" s="6"/>
    </row>
    <row r="27" customFormat="false" ht="15" hidden="false" customHeight="true" outlineLevel="0" collapsed="false">
      <c r="A27" s="5" t="s">
        <v>170</v>
      </c>
      <c r="B27" s="5" t="s">
        <v>171</v>
      </c>
      <c r="C27" s="5" t="s">
        <v>172</v>
      </c>
      <c r="D27" s="5" t="s">
        <v>173</v>
      </c>
      <c r="E27" s="5" t="s">
        <v>174</v>
      </c>
      <c r="F27" s="5" t="s">
        <v>175</v>
      </c>
      <c r="G27" s="5" t="s">
        <v>81</v>
      </c>
      <c r="H27" s="6" t="s">
        <v>176</v>
      </c>
    </row>
    <row r="28" customFormat="false" ht="15" hidden="false" customHeight="true" outlineLevel="0" collapsed="false">
      <c r="A28" s="5" t="s">
        <v>177</v>
      </c>
      <c r="B28" s="5" t="s">
        <v>178</v>
      </c>
      <c r="C28" s="5" t="s">
        <v>179</v>
      </c>
      <c r="D28" s="5" t="s">
        <v>180</v>
      </c>
      <c r="E28" s="5" t="s">
        <v>181</v>
      </c>
      <c r="F28" s="5" t="s">
        <v>182</v>
      </c>
      <c r="G28" s="5" t="s">
        <v>81</v>
      </c>
      <c r="H28" s="6" t="s">
        <v>183</v>
      </c>
    </row>
    <row r="29" customFormat="false" ht="15" hidden="false" customHeight="true" outlineLevel="0" collapsed="false">
      <c r="A29" s="5" t="s">
        <v>184</v>
      </c>
      <c r="B29" s="5" t="s">
        <v>178</v>
      </c>
      <c r="C29" s="5" t="s">
        <v>185</v>
      </c>
      <c r="D29" s="5" t="s">
        <v>186</v>
      </c>
      <c r="E29" s="5" t="s">
        <v>187</v>
      </c>
      <c r="F29" s="5" t="s">
        <v>188</v>
      </c>
      <c r="G29" s="5" t="s">
        <v>39</v>
      </c>
      <c r="H29" s="6"/>
    </row>
    <row r="30" customFormat="false" ht="15" hidden="false" customHeight="true" outlineLevel="0" collapsed="false">
      <c r="A30" s="5" t="s">
        <v>189</v>
      </c>
      <c r="B30" s="5" t="s">
        <v>76</v>
      </c>
      <c r="C30" s="5" t="s">
        <v>190</v>
      </c>
      <c r="D30" s="5" t="s">
        <v>191</v>
      </c>
      <c r="E30" s="5" t="s">
        <v>192</v>
      </c>
      <c r="F30" s="5" t="s">
        <v>193</v>
      </c>
      <c r="G30" s="5" t="s">
        <v>39</v>
      </c>
      <c r="H30" s="6"/>
    </row>
    <row r="31" customFormat="false" ht="15" hidden="false" customHeight="true" outlineLevel="0" collapsed="false">
      <c r="A31" s="5" t="s">
        <v>194</v>
      </c>
      <c r="B31" s="5" t="s">
        <v>76</v>
      </c>
      <c r="C31" s="5" t="s">
        <v>195</v>
      </c>
      <c r="D31" s="5" t="s">
        <v>196</v>
      </c>
      <c r="E31" s="5" t="s">
        <v>197</v>
      </c>
      <c r="F31" s="5" t="s">
        <v>198</v>
      </c>
      <c r="G31" s="5" t="s">
        <v>39</v>
      </c>
      <c r="H31" s="6"/>
    </row>
    <row r="32" customFormat="false" ht="15" hidden="false" customHeight="true" outlineLevel="0" collapsed="false">
      <c r="A32" s="5" t="s">
        <v>199</v>
      </c>
      <c r="B32" s="5" t="s">
        <v>76</v>
      </c>
      <c r="C32" s="5" t="s">
        <v>200</v>
      </c>
      <c r="D32" s="5" t="s">
        <v>201</v>
      </c>
      <c r="E32" s="5" t="s">
        <v>197</v>
      </c>
      <c r="F32" s="5" t="s">
        <v>202</v>
      </c>
      <c r="G32" s="5" t="s">
        <v>39</v>
      </c>
      <c r="H32" s="6"/>
    </row>
    <row r="33" customFormat="false" ht="15" hidden="false" customHeight="true" outlineLevel="0" collapsed="false">
      <c r="A33" s="5" t="s">
        <v>203</v>
      </c>
      <c r="B33" s="5" t="s">
        <v>76</v>
      </c>
      <c r="C33" s="5" t="s">
        <v>204</v>
      </c>
      <c r="D33" s="5" t="s">
        <v>205</v>
      </c>
      <c r="E33" s="5" t="s">
        <v>206</v>
      </c>
      <c r="F33" s="5" t="s">
        <v>207</v>
      </c>
      <c r="G33" s="5" t="s">
        <v>81</v>
      </c>
      <c r="H33" s="6" t="s">
        <v>183</v>
      </c>
    </row>
    <row r="34" customFormat="false" ht="15" hidden="false" customHeight="true" outlineLevel="0" collapsed="false">
      <c r="A34" s="5" t="s">
        <v>208</v>
      </c>
      <c r="B34" s="5" t="s">
        <v>105</v>
      </c>
      <c r="C34" s="5" t="s">
        <v>209</v>
      </c>
      <c r="D34" s="5" t="s">
        <v>210</v>
      </c>
      <c r="E34" s="5" t="s">
        <v>211</v>
      </c>
      <c r="F34" s="5" t="s">
        <v>212</v>
      </c>
      <c r="G34" s="5" t="s">
        <v>39</v>
      </c>
      <c r="H34" s="6"/>
    </row>
    <row r="35" customFormat="false" ht="15" hidden="false" customHeight="true" outlineLevel="0" collapsed="false">
      <c r="A35" s="5" t="s">
        <v>213</v>
      </c>
      <c r="B35" s="5" t="s">
        <v>105</v>
      </c>
      <c r="C35" s="5" t="s">
        <v>214</v>
      </c>
      <c r="D35" s="5" t="s">
        <v>215</v>
      </c>
      <c r="E35" s="5" t="s">
        <v>216</v>
      </c>
      <c r="F35" s="5" t="s">
        <v>217</v>
      </c>
      <c r="G35" s="5" t="s">
        <v>39</v>
      </c>
      <c r="H35" s="6"/>
    </row>
    <row r="36" customFormat="false" ht="15" hidden="false" customHeight="true" outlineLevel="0" collapsed="false">
      <c r="A36" s="5" t="s">
        <v>218</v>
      </c>
      <c r="B36" s="5" t="s">
        <v>105</v>
      </c>
      <c r="C36" s="5" t="s">
        <v>219</v>
      </c>
      <c r="D36" s="5" t="s">
        <v>220</v>
      </c>
      <c r="E36" s="5" t="s">
        <v>221</v>
      </c>
      <c r="F36" s="5" t="s">
        <v>222</v>
      </c>
      <c r="G36" s="5" t="s">
        <v>39</v>
      </c>
      <c r="H36" s="6"/>
    </row>
    <row r="37" customFormat="false" ht="15" hidden="false" customHeight="true" outlineLevel="0" collapsed="false">
      <c r="A37" s="5" t="s">
        <v>223</v>
      </c>
      <c r="B37" s="5" t="s">
        <v>105</v>
      </c>
      <c r="C37" s="5" t="s">
        <v>224</v>
      </c>
      <c r="D37" s="5" t="s">
        <v>225</v>
      </c>
      <c r="E37" s="5" t="s">
        <v>226</v>
      </c>
      <c r="F37" s="5" t="s">
        <v>227</v>
      </c>
      <c r="G37" s="5" t="s">
        <v>39</v>
      </c>
      <c r="H37" s="6"/>
    </row>
    <row r="38" customFormat="false" ht="15" hidden="false" customHeight="true" outlineLevel="0" collapsed="false">
      <c r="A38" s="5" t="s">
        <v>228</v>
      </c>
      <c r="B38" s="5" t="s">
        <v>122</v>
      </c>
      <c r="C38" s="5" t="s">
        <v>229</v>
      </c>
      <c r="D38" s="5" t="s">
        <v>230</v>
      </c>
      <c r="E38" s="5" t="s">
        <v>231</v>
      </c>
      <c r="F38" s="5" t="s">
        <v>232</v>
      </c>
      <c r="G38" s="5" t="s">
        <v>39</v>
      </c>
      <c r="H38" s="6"/>
    </row>
    <row r="39" customFormat="false" ht="15" hidden="false" customHeight="true" outlineLevel="0" collapsed="false">
      <c r="A39" s="5" t="s">
        <v>233</v>
      </c>
      <c r="B39" s="5" t="s">
        <v>128</v>
      </c>
      <c r="C39" s="5" t="s">
        <v>234</v>
      </c>
      <c r="D39" s="5" t="s">
        <v>230</v>
      </c>
      <c r="E39" s="5" t="s">
        <v>231</v>
      </c>
      <c r="F39" s="5" t="s">
        <v>232</v>
      </c>
      <c r="G39" s="5" t="s">
        <v>39</v>
      </c>
      <c r="H39" s="6"/>
    </row>
    <row r="40" customFormat="false" ht="15" hidden="false" customHeight="true" outlineLevel="0" collapsed="false">
      <c r="A40" s="5" t="s">
        <v>235</v>
      </c>
      <c r="B40" s="5" t="s">
        <v>133</v>
      </c>
      <c r="C40" s="5" t="s">
        <v>236</v>
      </c>
      <c r="D40" s="5" t="s">
        <v>236</v>
      </c>
      <c r="E40" s="5" t="s">
        <v>237</v>
      </c>
      <c r="F40" s="5" t="s">
        <v>212</v>
      </c>
      <c r="G40" s="5" t="s">
        <v>39</v>
      </c>
      <c r="H40" s="6"/>
    </row>
    <row r="41" customFormat="false" ht="15" hidden="false" customHeight="true" outlineLevel="0" collapsed="false">
      <c r="A41" s="5" t="s">
        <v>238</v>
      </c>
      <c r="B41" s="5" t="s">
        <v>133</v>
      </c>
      <c r="C41" s="5" t="s">
        <v>239</v>
      </c>
      <c r="D41" s="5" t="s">
        <v>240</v>
      </c>
      <c r="E41" s="5" t="s">
        <v>241</v>
      </c>
      <c r="F41" s="5" t="s">
        <v>242</v>
      </c>
      <c r="G41" s="5" t="s">
        <v>39</v>
      </c>
      <c r="H41" s="6"/>
    </row>
    <row r="42" customFormat="false" ht="15" hidden="false" customHeight="true" outlineLevel="0" collapsed="false">
      <c r="A42" s="5" t="s">
        <v>243</v>
      </c>
      <c r="B42" s="5" t="s">
        <v>133</v>
      </c>
      <c r="C42" s="5" t="s">
        <v>244</v>
      </c>
      <c r="D42" s="5" t="s">
        <v>245</v>
      </c>
      <c r="E42" s="5" t="s">
        <v>246</v>
      </c>
      <c r="F42" s="5" t="s">
        <v>247</v>
      </c>
      <c r="G42" s="5" t="s">
        <v>39</v>
      </c>
      <c r="H42" s="6"/>
    </row>
    <row r="43" customFormat="false" ht="15" hidden="false" customHeight="true" outlineLevel="0" collapsed="false">
      <c r="A43" s="5" t="s">
        <v>248</v>
      </c>
      <c r="B43" s="5" t="s">
        <v>249</v>
      </c>
      <c r="C43" s="5" t="s">
        <v>250</v>
      </c>
      <c r="D43" s="5" t="s">
        <v>251</v>
      </c>
      <c r="E43" s="5" t="s">
        <v>252</v>
      </c>
      <c r="F43" s="5" t="s">
        <v>253</v>
      </c>
      <c r="G43" s="5" t="s">
        <v>39</v>
      </c>
      <c r="H43" s="6"/>
    </row>
    <row r="44" customFormat="false" ht="15" hidden="false" customHeight="true" outlineLevel="0" collapsed="false">
      <c r="A44" s="5" t="s">
        <v>254</v>
      </c>
      <c r="B44" s="5" t="s">
        <v>249</v>
      </c>
      <c r="C44" s="5" t="s">
        <v>255</v>
      </c>
      <c r="D44" s="5" t="s">
        <v>256</v>
      </c>
      <c r="E44" s="5" t="s">
        <v>257</v>
      </c>
      <c r="F44" s="5" t="s">
        <v>258</v>
      </c>
      <c r="G44" s="5" t="s">
        <v>39</v>
      </c>
      <c r="H44" s="6"/>
    </row>
    <row r="45" customFormat="false" ht="15" hidden="false" customHeight="true" outlineLevel="0" collapsed="false">
      <c r="A45" s="5" t="s">
        <v>259</v>
      </c>
      <c r="B45" s="5" t="s">
        <v>249</v>
      </c>
      <c r="C45" s="5" t="s">
        <v>260</v>
      </c>
      <c r="D45" s="5" t="s">
        <v>261</v>
      </c>
      <c r="E45" s="5" t="s">
        <v>56</v>
      </c>
      <c r="F45" s="5" t="s">
        <v>262</v>
      </c>
      <c r="G45" s="5" t="s">
        <v>39</v>
      </c>
      <c r="H45" s="6"/>
    </row>
    <row r="46" customFormat="false" ht="15" hidden="false" customHeight="true" outlineLevel="0" collapsed="false">
      <c r="A46" s="5" t="s">
        <v>263</v>
      </c>
      <c r="B46" s="5" t="s">
        <v>264</v>
      </c>
      <c r="C46" s="5" t="s">
        <v>265</v>
      </c>
      <c r="D46" s="5" t="s">
        <v>266</v>
      </c>
      <c r="E46" s="5" t="s">
        <v>267</v>
      </c>
      <c r="F46" s="5" t="s">
        <v>222</v>
      </c>
      <c r="G46" s="5" t="s">
        <v>39</v>
      </c>
      <c r="H46" s="6"/>
    </row>
    <row r="47" customFormat="false" ht="15" hidden="false" customHeight="true" outlineLevel="0" collapsed="false">
      <c r="A47" s="5" t="s">
        <v>268</v>
      </c>
      <c r="B47" s="5" t="s">
        <v>264</v>
      </c>
      <c r="C47" s="5" t="s">
        <v>269</v>
      </c>
      <c r="D47" s="5" t="s">
        <v>270</v>
      </c>
      <c r="E47" s="5" t="s">
        <v>271</v>
      </c>
      <c r="F47" s="5" t="s">
        <v>272</v>
      </c>
      <c r="G47" s="5" t="s">
        <v>39</v>
      </c>
      <c r="H47" s="6"/>
    </row>
    <row r="48" customFormat="false" ht="15" hidden="false" customHeight="true" outlineLevel="0" collapsed="false">
      <c r="A48" s="5" t="s">
        <v>273</v>
      </c>
      <c r="B48" s="5" t="s">
        <v>65</v>
      </c>
      <c r="C48" s="5" t="s">
        <v>274</v>
      </c>
      <c r="D48" s="5" t="s">
        <v>275</v>
      </c>
      <c r="E48" s="5" t="s">
        <v>276</v>
      </c>
      <c r="F48" s="5" t="s">
        <v>277</v>
      </c>
      <c r="G48" s="5" t="s">
        <v>39</v>
      </c>
      <c r="H48" s="6"/>
    </row>
    <row r="49" customFormat="false" ht="15" hidden="false" customHeight="true" outlineLevel="0" collapsed="false">
      <c r="A49" s="5" t="s">
        <v>278</v>
      </c>
      <c r="B49" s="5" t="s">
        <v>279</v>
      </c>
      <c r="C49" s="5" t="s">
        <v>280</v>
      </c>
      <c r="D49" s="5" t="s">
        <v>281</v>
      </c>
      <c r="E49" s="5" t="s">
        <v>37</v>
      </c>
      <c r="F49" s="5" t="s">
        <v>282</v>
      </c>
      <c r="G49" s="5" t="s">
        <v>39</v>
      </c>
      <c r="H49" s="6"/>
    </row>
    <row r="50" customFormat="false" ht="15" hidden="false" customHeight="true" outlineLevel="0" collapsed="false">
      <c r="A50" s="5" t="s">
        <v>283</v>
      </c>
      <c r="B50" s="5" t="s">
        <v>279</v>
      </c>
      <c r="C50" s="5" t="s">
        <v>284</v>
      </c>
      <c r="D50" s="5" t="s">
        <v>285</v>
      </c>
      <c r="E50" s="5" t="s">
        <v>43</v>
      </c>
      <c r="F50" s="5" t="s">
        <v>286</v>
      </c>
      <c r="G50" s="5" t="s">
        <v>39</v>
      </c>
      <c r="H50" s="6"/>
    </row>
    <row r="51" customFormat="false" ht="15" hidden="false" customHeight="true" outlineLevel="0" collapsed="false">
      <c r="A51" s="5" t="s">
        <v>287</v>
      </c>
      <c r="B51" s="5" t="s">
        <v>279</v>
      </c>
      <c r="C51" s="5" t="s">
        <v>288</v>
      </c>
      <c r="D51" s="5" t="s">
        <v>289</v>
      </c>
      <c r="E51" s="5" t="s">
        <v>290</v>
      </c>
      <c r="F51" s="5" t="s">
        <v>291</v>
      </c>
      <c r="G51" s="5" t="s">
        <v>39</v>
      </c>
      <c r="H51" s="6"/>
    </row>
    <row r="52" customFormat="false" ht="15" hidden="false" customHeight="true" outlineLevel="0" collapsed="false">
      <c r="A52" s="5" t="s">
        <v>292</v>
      </c>
      <c r="B52" s="5" t="s">
        <v>279</v>
      </c>
      <c r="C52" s="5" t="s">
        <v>293</v>
      </c>
      <c r="D52" s="5" t="s">
        <v>294</v>
      </c>
      <c r="E52" s="5" t="s">
        <v>295</v>
      </c>
      <c r="F52" s="5" t="s">
        <v>296</v>
      </c>
      <c r="G52" s="5" t="s">
        <v>39</v>
      </c>
      <c r="H52" s="6"/>
    </row>
    <row r="53" customFormat="false" ht="15" hidden="false" customHeight="true" outlineLevel="0" collapsed="false">
      <c r="A53" s="5" t="s">
        <v>297</v>
      </c>
      <c r="B53" s="5" t="s">
        <v>298</v>
      </c>
      <c r="C53" s="5" t="s">
        <v>299</v>
      </c>
      <c r="D53" s="5" t="s">
        <v>300</v>
      </c>
      <c r="E53" s="5" t="s">
        <v>301</v>
      </c>
      <c r="F53" s="5" t="s">
        <v>302</v>
      </c>
      <c r="G53" s="5" t="s">
        <v>39</v>
      </c>
      <c r="H53" s="6"/>
    </row>
    <row r="54" customFormat="false" ht="15" hidden="false" customHeight="true" outlineLevel="0" collapsed="false">
      <c r="A54" s="5" t="s">
        <v>303</v>
      </c>
      <c r="B54" s="5" t="s">
        <v>298</v>
      </c>
      <c r="C54" s="5" t="s">
        <v>304</v>
      </c>
      <c r="D54" s="5" t="s">
        <v>305</v>
      </c>
      <c r="E54" s="5" t="s">
        <v>306</v>
      </c>
      <c r="F54" s="5" t="s">
        <v>307</v>
      </c>
      <c r="G54" s="5" t="s">
        <v>39</v>
      </c>
      <c r="H54" s="6"/>
    </row>
    <row r="55" customFormat="false" ht="15" hidden="false" customHeight="true" outlineLevel="0" collapsed="false">
      <c r="A55" s="5" t="s">
        <v>308</v>
      </c>
      <c r="B55" s="5" t="s">
        <v>298</v>
      </c>
      <c r="C55" s="5" t="s">
        <v>309</v>
      </c>
      <c r="D55" s="5" t="s">
        <v>310</v>
      </c>
      <c r="E55" s="5" t="s">
        <v>311</v>
      </c>
      <c r="F55" s="5" t="s">
        <v>49</v>
      </c>
      <c r="G55" s="5" t="s">
        <v>39</v>
      </c>
      <c r="H55" s="6"/>
    </row>
    <row r="56" customFormat="false" ht="15" hidden="false" customHeight="true" outlineLevel="0" collapsed="false">
      <c r="A56" s="5" t="s">
        <v>312</v>
      </c>
      <c r="B56" s="5" t="s">
        <v>298</v>
      </c>
      <c r="C56" s="5" t="s">
        <v>313</v>
      </c>
      <c r="D56" s="5" t="s">
        <v>314</v>
      </c>
      <c r="E56" s="5" t="s">
        <v>311</v>
      </c>
      <c r="F56" s="5" t="s">
        <v>49</v>
      </c>
      <c r="G56" s="5" t="s">
        <v>39</v>
      </c>
      <c r="H56" s="6"/>
    </row>
    <row r="57" customFormat="false" ht="15" hidden="false" customHeight="true" outlineLevel="0" collapsed="false">
      <c r="A57" s="5" t="s">
        <v>315</v>
      </c>
      <c r="B57" s="5" t="s">
        <v>298</v>
      </c>
      <c r="C57" s="5" t="s">
        <v>316</v>
      </c>
      <c r="D57" s="5" t="s">
        <v>317</v>
      </c>
      <c r="E57" s="5" t="s">
        <v>311</v>
      </c>
      <c r="F57" s="5" t="s">
        <v>318</v>
      </c>
      <c r="G57" s="5" t="s">
        <v>39</v>
      </c>
      <c r="H57" s="6"/>
    </row>
    <row r="58" customFormat="false" ht="15" hidden="false" customHeight="true" outlineLevel="0" collapsed="false">
      <c r="A58" s="5" t="s">
        <v>319</v>
      </c>
      <c r="B58" s="5" t="s">
        <v>298</v>
      </c>
      <c r="C58" s="5" t="s">
        <v>320</v>
      </c>
      <c r="D58" s="5" t="s">
        <v>321</v>
      </c>
      <c r="E58" s="5" t="s">
        <v>311</v>
      </c>
      <c r="F58" s="5" t="s">
        <v>322</v>
      </c>
      <c r="G58" s="5" t="s">
        <v>39</v>
      </c>
      <c r="H58" s="6"/>
    </row>
    <row r="59" customFormat="false" ht="15" hidden="false" customHeight="true" outlineLevel="0" collapsed="false">
      <c r="A59" s="5" t="s">
        <v>323</v>
      </c>
      <c r="B59" s="5" t="s">
        <v>298</v>
      </c>
      <c r="C59" s="5" t="s">
        <v>324</v>
      </c>
      <c r="D59" s="5" t="s">
        <v>325</v>
      </c>
      <c r="E59" s="5" t="s">
        <v>326</v>
      </c>
      <c r="F59" s="5" t="s">
        <v>327</v>
      </c>
      <c r="G59" s="5" t="s">
        <v>39</v>
      </c>
      <c r="H59" s="6"/>
    </row>
    <row r="60" customFormat="false" ht="15" hidden="false" customHeight="true" outlineLevel="0" collapsed="false">
      <c r="A60" s="5" t="s">
        <v>328</v>
      </c>
      <c r="B60" s="5" t="s">
        <v>329</v>
      </c>
      <c r="C60" s="5" t="s">
        <v>330</v>
      </c>
      <c r="D60" s="5" t="s">
        <v>331</v>
      </c>
      <c r="E60" s="5" t="s">
        <v>332</v>
      </c>
      <c r="F60" s="5" t="s">
        <v>333</v>
      </c>
      <c r="G60" s="5" t="s">
        <v>39</v>
      </c>
      <c r="H60" s="6"/>
    </row>
    <row r="61" customFormat="false" ht="15" hidden="false" customHeight="true" outlineLevel="0" collapsed="false">
      <c r="A61" s="5" t="s">
        <v>334</v>
      </c>
      <c r="B61" s="5" t="s">
        <v>329</v>
      </c>
      <c r="C61" s="5" t="s">
        <v>335</v>
      </c>
      <c r="D61" s="5" t="s">
        <v>336</v>
      </c>
      <c r="E61" s="5" t="s">
        <v>332</v>
      </c>
      <c r="F61" s="5" t="s">
        <v>337</v>
      </c>
      <c r="G61" s="5" t="s">
        <v>39</v>
      </c>
      <c r="H61" s="6"/>
    </row>
    <row r="62" customFormat="false" ht="15" hidden="false" customHeight="true" outlineLevel="0" collapsed="false">
      <c r="A62" s="5" t="s">
        <v>338</v>
      </c>
      <c r="B62" s="5" t="s">
        <v>339</v>
      </c>
      <c r="C62" s="5" t="s">
        <v>340</v>
      </c>
      <c r="D62" s="5" t="s">
        <v>341</v>
      </c>
      <c r="E62" s="5" t="s">
        <v>342</v>
      </c>
      <c r="F62" s="5" t="s">
        <v>343</v>
      </c>
      <c r="G62" s="5" t="s">
        <v>39</v>
      </c>
      <c r="H62" s="6"/>
    </row>
    <row r="63" customFormat="false" ht="15" hidden="false" customHeight="true" outlineLevel="0" collapsed="false">
      <c r="A63" s="5" t="s">
        <v>344</v>
      </c>
      <c r="B63" s="5" t="s">
        <v>339</v>
      </c>
      <c r="C63" s="5" t="s">
        <v>345</v>
      </c>
      <c r="D63" s="5" t="s">
        <v>346</v>
      </c>
      <c r="E63" s="5" t="s">
        <v>347</v>
      </c>
      <c r="F63" s="5" t="s">
        <v>348</v>
      </c>
      <c r="G63" s="5" t="s">
        <v>39</v>
      </c>
      <c r="H63" s="6"/>
    </row>
    <row r="64" customFormat="false" ht="15" hidden="false" customHeight="true" outlineLevel="0" collapsed="false">
      <c r="A64" s="5" t="s">
        <v>349</v>
      </c>
      <c r="B64" s="5" t="s">
        <v>339</v>
      </c>
      <c r="C64" s="5" t="s">
        <v>350</v>
      </c>
      <c r="D64" s="5" t="s">
        <v>351</v>
      </c>
      <c r="E64" s="5" t="s">
        <v>352</v>
      </c>
      <c r="F64" s="5" t="s">
        <v>353</v>
      </c>
      <c r="G64" s="5" t="s">
        <v>39</v>
      </c>
      <c r="H64" s="6"/>
    </row>
    <row r="65" customFormat="false" ht="15" hidden="false" customHeight="true" outlineLevel="0" collapsed="false">
      <c r="A65" s="5" t="s">
        <v>354</v>
      </c>
      <c r="B65" s="5" t="s">
        <v>339</v>
      </c>
      <c r="C65" s="5" t="s">
        <v>355</v>
      </c>
      <c r="D65" s="5" t="s">
        <v>356</v>
      </c>
      <c r="E65" s="5" t="s">
        <v>357</v>
      </c>
      <c r="F65" s="5" t="s">
        <v>358</v>
      </c>
      <c r="G65" s="5" t="s">
        <v>39</v>
      </c>
      <c r="H65" s="6"/>
    </row>
    <row r="66" customFormat="false" ht="15" hidden="false" customHeight="true" outlineLevel="0" collapsed="false">
      <c r="A66" s="5" t="s">
        <v>359</v>
      </c>
      <c r="B66" s="5" t="s">
        <v>339</v>
      </c>
      <c r="C66" s="5" t="s">
        <v>360</v>
      </c>
      <c r="D66" s="5" t="s">
        <v>361</v>
      </c>
      <c r="E66" s="5" t="s">
        <v>362</v>
      </c>
      <c r="F66" s="5" t="s">
        <v>363</v>
      </c>
      <c r="G66" s="5" t="s">
        <v>39</v>
      </c>
      <c r="H66" s="6"/>
    </row>
    <row r="67" customFormat="false" ht="15" hidden="false" customHeight="true" outlineLevel="0" collapsed="false">
      <c r="A67" s="5" t="s">
        <v>364</v>
      </c>
      <c r="B67" s="5" t="s">
        <v>339</v>
      </c>
      <c r="C67" s="5" t="s">
        <v>365</v>
      </c>
      <c r="D67" s="5" t="s">
        <v>366</v>
      </c>
      <c r="E67" s="5" t="s">
        <v>367</v>
      </c>
      <c r="F67" s="5" t="s">
        <v>272</v>
      </c>
      <c r="G67" s="5" t="s">
        <v>39</v>
      </c>
      <c r="H67" s="6"/>
    </row>
    <row r="68" customFormat="false" ht="15" hidden="false" customHeight="true" outlineLevel="0" collapsed="false">
      <c r="A68" s="5" t="s">
        <v>368</v>
      </c>
      <c r="B68" s="5" t="s">
        <v>339</v>
      </c>
      <c r="C68" s="5" t="s">
        <v>145</v>
      </c>
      <c r="D68" s="5" t="s">
        <v>369</v>
      </c>
      <c r="E68" s="5" t="s">
        <v>370</v>
      </c>
      <c r="F68" s="5" t="s">
        <v>371</v>
      </c>
      <c r="G68" s="5" t="s">
        <v>39</v>
      </c>
      <c r="H68" s="6"/>
    </row>
    <row r="69" customFormat="false" ht="15" hidden="false" customHeight="true" outlineLevel="0" collapsed="false">
      <c r="A69" s="5" t="s">
        <v>372</v>
      </c>
      <c r="B69" s="5" t="s">
        <v>339</v>
      </c>
      <c r="C69" s="5" t="s">
        <v>373</v>
      </c>
      <c r="D69" s="5" t="s">
        <v>374</v>
      </c>
      <c r="E69" s="5" t="s">
        <v>375</v>
      </c>
      <c r="F69" s="5" t="s">
        <v>376</v>
      </c>
      <c r="G69" s="5" t="s">
        <v>39</v>
      </c>
      <c r="H69" s="6"/>
    </row>
    <row r="70" customFormat="false" ht="15" hidden="false" customHeight="true" outlineLevel="0" collapsed="false">
      <c r="A70" s="5" t="s">
        <v>377</v>
      </c>
      <c r="B70" s="5" t="s">
        <v>378</v>
      </c>
      <c r="C70" s="5" t="s">
        <v>379</v>
      </c>
      <c r="D70" s="5" t="s">
        <v>380</v>
      </c>
      <c r="E70" s="5" t="s">
        <v>381</v>
      </c>
      <c r="F70" s="5" t="s">
        <v>382</v>
      </c>
      <c r="G70" s="5" t="s">
        <v>39</v>
      </c>
      <c r="H70" s="6"/>
    </row>
    <row r="71" customFormat="false" ht="23.25" hidden="false" customHeight="true" outlineLevel="0" collapsed="false">
      <c r="A71" s="5" t="s">
        <v>383</v>
      </c>
      <c r="B71" s="5" t="s">
        <v>378</v>
      </c>
      <c r="C71" s="5" t="s">
        <v>384</v>
      </c>
      <c r="D71" s="5" t="s">
        <v>385</v>
      </c>
      <c r="E71" s="5" t="s">
        <v>386</v>
      </c>
      <c r="F71" s="5" t="s">
        <v>387</v>
      </c>
      <c r="G71" s="5" t="s">
        <v>81</v>
      </c>
      <c r="H71" s="6" t="s">
        <v>388</v>
      </c>
    </row>
    <row r="72" customFormat="false" ht="15" hidden="false" customHeight="true" outlineLevel="0" collapsed="false">
      <c r="A72" s="5" t="s">
        <v>389</v>
      </c>
      <c r="B72" s="5" t="s">
        <v>378</v>
      </c>
      <c r="C72" s="5" t="s">
        <v>390</v>
      </c>
      <c r="D72" s="5" t="s">
        <v>391</v>
      </c>
      <c r="E72" s="5" t="s">
        <v>392</v>
      </c>
      <c r="F72" s="5" t="s">
        <v>392</v>
      </c>
      <c r="G72" s="5" t="s">
        <v>39</v>
      </c>
      <c r="H72" s="6"/>
    </row>
    <row r="73" customFormat="false" ht="15" hidden="false" customHeight="true" outlineLevel="0" collapsed="false">
      <c r="A73" s="5" t="s">
        <v>393</v>
      </c>
      <c r="B73" s="5" t="s">
        <v>339</v>
      </c>
      <c r="C73" s="5" t="s">
        <v>265</v>
      </c>
      <c r="D73" s="5" t="s">
        <v>394</v>
      </c>
      <c r="E73" s="5" t="s">
        <v>395</v>
      </c>
      <c r="F73" s="5" t="s">
        <v>396</v>
      </c>
      <c r="G73" s="5" t="s">
        <v>39</v>
      </c>
      <c r="H73" s="6"/>
    </row>
    <row r="74" customFormat="false" ht="23.25" hidden="false" customHeight="true" outlineLevel="0" collapsed="false">
      <c r="A74" s="5" t="s">
        <v>397</v>
      </c>
      <c r="B74" s="5" t="s">
        <v>11</v>
      </c>
      <c r="C74" s="5" t="s">
        <v>398</v>
      </c>
      <c r="D74" s="5" t="s">
        <v>399</v>
      </c>
      <c r="E74" s="5" t="s">
        <v>400</v>
      </c>
      <c r="F74" s="5" t="s">
        <v>401</v>
      </c>
      <c r="G74" s="5" t="s">
        <v>39</v>
      </c>
      <c r="H74" s="6"/>
    </row>
    <row r="75" customFormat="false" ht="15" hidden="false" customHeight="true" outlineLevel="0" collapsed="false">
      <c r="A75" s="5" t="s">
        <v>402</v>
      </c>
      <c r="B75" s="5" t="s">
        <v>11</v>
      </c>
      <c r="C75" s="5" t="s">
        <v>403</v>
      </c>
      <c r="D75" s="5" t="s">
        <v>404</v>
      </c>
      <c r="E75" s="5" t="s">
        <v>405</v>
      </c>
      <c r="F75" s="5" t="s">
        <v>406</v>
      </c>
      <c r="G75" s="5" t="s">
        <v>39</v>
      </c>
      <c r="H75" s="6"/>
    </row>
    <row r="76" customFormat="false" ht="15" hidden="false" customHeight="true" outlineLevel="0" collapsed="false">
      <c r="A76" s="5" t="s">
        <v>407</v>
      </c>
      <c r="B76" s="5" t="s">
        <v>11</v>
      </c>
      <c r="C76" s="5" t="s">
        <v>408</v>
      </c>
      <c r="D76" s="5" t="s">
        <v>409</v>
      </c>
      <c r="E76" s="5" t="s">
        <v>410</v>
      </c>
      <c r="F76" s="5" t="s">
        <v>411</v>
      </c>
      <c r="G76" s="5" t="s">
        <v>39</v>
      </c>
      <c r="H76" s="6"/>
    </row>
    <row r="77" customFormat="false" ht="15" hidden="false" customHeight="true" outlineLevel="0" collapsed="false">
      <c r="A77" s="5" t="s">
        <v>412</v>
      </c>
      <c r="B77" s="5" t="s">
        <v>11</v>
      </c>
      <c r="C77" s="5" t="s">
        <v>413</v>
      </c>
      <c r="D77" s="5" t="s">
        <v>414</v>
      </c>
      <c r="E77" s="5" t="s">
        <v>415</v>
      </c>
      <c r="F77" s="5" t="s">
        <v>416</v>
      </c>
      <c r="G77" s="5" t="s">
        <v>39</v>
      </c>
      <c r="H77" s="6"/>
    </row>
    <row r="78" customFormat="false" ht="15" hidden="false" customHeight="true" outlineLevel="0" collapsed="false">
      <c r="A78" s="5" t="s">
        <v>417</v>
      </c>
      <c r="B78" s="5" t="s">
        <v>11</v>
      </c>
      <c r="C78" s="5" t="s">
        <v>418</v>
      </c>
      <c r="D78" s="5" t="s">
        <v>419</v>
      </c>
      <c r="E78" s="5" t="s">
        <v>420</v>
      </c>
      <c r="F78" s="5" t="s">
        <v>421</v>
      </c>
      <c r="G78" s="5" t="s">
        <v>39</v>
      </c>
      <c r="H78" s="6"/>
    </row>
  </sheetData>
  <autoFilter ref="A1:H78"/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85"/>
  </cols>
  <sheetData>
    <row r="1" customFormat="false" ht="36.75" hidden="false" customHeight="true" outlineLevel="0" collapsed="false">
      <c r="A1" s="7" t="s">
        <v>422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2" t="s">
        <v>2</v>
      </c>
      <c r="C2" s="2"/>
      <c r="D2" s="2"/>
    </row>
    <row r="3" customFormat="false" ht="15" hidden="false" customHeight="true" outlineLevel="0" collapsed="false">
      <c r="A3" s="3" t="s">
        <v>423</v>
      </c>
      <c r="B3" s="2" t="s">
        <v>424</v>
      </c>
      <c r="C3" s="2"/>
      <c r="D3" s="2"/>
    </row>
    <row r="4" customFormat="false" ht="15" hidden="false" customHeight="true" outlineLevel="0" collapsed="false">
      <c r="A4" s="3" t="s">
        <v>425</v>
      </c>
      <c r="B4" s="2" t="s">
        <v>426</v>
      </c>
      <c r="C4" s="2"/>
      <c r="D4" s="2"/>
    </row>
    <row r="5" customFormat="false" ht="15" hidden="false" customHeight="true" outlineLevel="0" collapsed="false">
      <c r="A5" s="3" t="s">
        <v>427</v>
      </c>
      <c r="B5" s="2" t="s">
        <v>428</v>
      </c>
      <c r="C5" s="2"/>
      <c r="D5" s="2"/>
    </row>
    <row r="6" customFormat="false" ht="15" hidden="false" customHeight="true" outlineLevel="0" collapsed="false">
      <c r="A6" s="3"/>
      <c r="B6" s="2"/>
      <c r="C6" s="2"/>
      <c r="D6" s="2"/>
    </row>
    <row r="7" customFormat="false" ht="15" hidden="false" customHeight="true" outlineLevel="0" collapsed="false">
      <c r="A7" s="3" t="s">
        <v>429</v>
      </c>
      <c r="B7" s="2" t="s">
        <v>430</v>
      </c>
      <c r="C7" s="2" t="s">
        <v>431</v>
      </c>
      <c r="D7" s="2" t="s">
        <v>432</v>
      </c>
    </row>
    <row r="8" customFormat="false" ht="15" hidden="false" customHeight="true" outlineLevel="0" collapsed="false">
      <c r="A8" s="3" t="s">
        <v>433</v>
      </c>
      <c r="B8" s="2" t="n">
        <f aca="false">COUNTIFS('Test Cases'!$A$2:$A$78,"TC-*")+COUNTIFS('Test Cases'!$A$2:$A$78,"R-*")</f>
        <v>51</v>
      </c>
      <c r="C8" s="2" t="n">
        <f aca="false">COUNTIFS('Test Cases'!$A$2:$A$78,"TC-*",'Test Cases'!$G$2:$G$78,"PASS")+COUNTIFS('Test Cases'!$A$2:$A$78,"R-*",'Test Cases'!$G$2:$G$78,"PASS")</f>
        <v>44</v>
      </c>
      <c r="D8" s="2" t="n">
        <f aca="false">COUNTIFS('Test Cases'!$A$2:$A$78,"TC-*",'Test Cases'!$G$2:$G$78,"FAIL")+COUNTIFS('Test Cases'!$A$2:$A$78,"R-*",'Test Cases'!$G$2:$G$78,"FAIL")</f>
        <v>7</v>
      </c>
    </row>
    <row r="9" customFormat="false" ht="15" hidden="false" customHeight="true" outlineLevel="0" collapsed="false">
      <c r="A9" s="3" t="s">
        <v>434</v>
      </c>
      <c r="B9" s="2" t="n">
        <f aca="false">COUNTIFS('Test Cases'!$A$2:$A$78,"API-*")</f>
        <v>21</v>
      </c>
      <c r="C9" s="2" t="n">
        <f aca="false">COUNTIFS('Test Cases'!$A$2:$A$78,"API-*",'Test Cases'!$G$2:$G$78,"PASS")</f>
        <v>20</v>
      </c>
      <c r="D9" s="2" t="n">
        <f aca="false">COUNTIFS('Test Cases'!$A$2:$A$78,"API-*",'Test Cases'!$G$2:$G$78,"FAIL")</f>
        <v>1</v>
      </c>
    </row>
    <row r="10" customFormat="false" ht="15" hidden="false" customHeight="true" outlineLevel="0" collapsed="false">
      <c r="A10" s="3" t="s">
        <v>11</v>
      </c>
      <c r="B10" s="2" t="n">
        <f aca="false">COUNTIFS('Test Cases'!$A$2:$A$78,"DB-*")</f>
        <v>5</v>
      </c>
      <c r="C10" s="2" t="n">
        <f aca="false">COUNTIFS('Test Cases'!$A$2:$A$78,"DB-*",'Test Cases'!$G$2:$G$78,"PASS")</f>
        <v>5</v>
      </c>
      <c r="D10" s="2" t="n">
        <f aca="false">COUNTIFS('Test Cases'!$A$2:$A$78,"DB-*",'Test Cases'!$G$2:$G$78,"FAIL")</f>
        <v>0</v>
      </c>
    </row>
    <row r="11" customFormat="false" ht="15" hidden="false" customHeight="true" outlineLevel="0" collapsed="false">
      <c r="A11" s="3" t="s">
        <v>435</v>
      </c>
      <c r="B11" s="2" t="n">
        <f aca="false">SUM(B8:B10)</f>
        <v>77</v>
      </c>
      <c r="C11" s="2" t="n">
        <f aca="false">SUM(C8:C10)</f>
        <v>69</v>
      </c>
      <c r="D11" s="2" t="n">
        <f aca="false">SUM(D8:D10)</f>
        <v>8</v>
      </c>
    </row>
    <row r="12" customFormat="false" ht="15" hidden="false" customHeight="true" outlineLevel="0" collapsed="false">
      <c r="A12" s="3"/>
      <c r="B12" s="2"/>
      <c r="C12" s="2"/>
      <c r="D12" s="2"/>
    </row>
    <row r="13" customFormat="false" ht="23.25" hidden="false" customHeight="true" outlineLevel="0" collapsed="false">
      <c r="A13" s="3" t="s">
        <v>436</v>
      </c>
      <c r="B13" s="2" t="s">
        <v>437</v>
      </c>
      <c r="C13" s="2"/>
      <c r="D13" s="2"/>
    </row>
    <row r="14" customFormat="false" ht="15" hidden="false" customHeight="true" outlineLevel="0" collapsed="false">
      <c r="A14" s="3" t="s">
        <v>438</v>
      </c>
      <c r="B14" s="8" t="n">
        <f aca="false">COUNTA(Defects!A2:A8)</f>
        <v>7</v>
      </c>
      <c r="C14" s="2"/>
      <c r="D14" s="2"/>
    </row>
    <row r="15" customFormat="false" ht="15" hidden="false" customHeight="true" outlineLevel="0" collapsed="false">
      <c r="A15" s="3" t="s">
        <v>439</v>
      </c>
      <c r="B15" s="2" t="s">
        <v>440</v>
      </c>
      <c r="C15" s="2"/>
      <c r="D15" s="2"/>
    </row>
    <row r="17" customFormat="false" ht="15" hidden="false" customHeight="true" outlineLevel="0" collapsed="false">
      <c r="A17" s="9" t="s">
        <v>441</v>
      </c>
    </row>
    <row r="18" customFormat="false" ht="15" hidden="false" customHeight="true" outlineLevel="0" collapsed="false">
      <c r="A18" s="10" t="s">
        <v>429</v>
      </c>
      <c r="B18" s="10" t="s">
        <v>430</v>
      </c>
      <c r="C18" s="10" t="s">
        <v>431</v>
      </c>
      <c r="D18" s="10" t="s">
        <v>432</v>
      </c>
    </row>
    <row r="19" customFormat="false" ht="15" hidden="false" customHeight="true" outlineLevel="0" collapsed="false">
      <c r="A19" s="11" t="s">
        <v>442</v>
      </c>
      <c r="B19" s="11" t="n">
        <f aca="false">COUNTA(Automation!A2:A4)</f>
        <v>3</v>
      </c>
      <c r="C19" s="11" t="n">
        <f aca="false">COUNTIF(Automation!F2:F4,"PASS")</f>
        <v>3</v>
      </c>
      <c r="D19" s="11" t="n">
        <f aca="false">COUNTIF(Automation!F2:F4,"FAIL")</f>
        <v>0</v>
      </c>
    </row>
  </sheetData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40"/>
    <col collapsed="false" customWidth="true" hidden="false" outlineLevel="0" max="5" min="4" style="1" width="10"/>
    <col collapsed="false" customWidth="true" hidden="false" outlineLevel="0" max="6" min="6" style="1" width="46"/>
    <col collapsed="false" customWidth="true" hidden="false" outlineLevel="0" max="7" min="7" style="1" width="32"/>
    <col collapsed="false" customWidth="true" hidden="false" outlineLevel="0" max="8" min="8" style="1" width="40"/>
    <col collapsed="false" customWidth="true" hidden="false" outlineLevel="0" max="10" min="9" style="1" width="15"/>
    <col collapsed="false" customWidth="true" hidden="false" outlineLevel="0" max="11" min="11" style="1" width="13"/>
    <col collapsed="false" customWidth="true" hidden="false" outlineLevel="0" max="12" min="12" style="1" width="32"/>
    <col collapsed="false" customWidth="true" hidden="false" outlineLevel="0" max="13" min="13" style="1" width="26"/>
  </cols>
  <sheetData>
    <row r="1" customFormat="false" ht="23.25" hidden="false" customHeight="true" outlineLevel="0" collapsed="false">
      <c r="A1" s="12" t="s">
        <v>443</v>
      </c>
      <c r="B1" s="12" t="s">
        <v>26</v>
      </c>
      <c r="C1" s="12" t="s">
        <v>444</v>
      </c>
      <c r="D1" s="12" t="s">
        <v>445</v>
      </c>
      <c r="E1" s="12" t="s">
        <v>446</v>
      </c>
      <c r="F1" s="12" t="s">
        <v>447</v>
      </c>
      <c r="G1" s="12" t="s">
        <v>29</v>
      </c>
      <c r="H1" s="12" t="s">
        <v>30</v>
      </c>
      <c r="I1" s="12" t="s">
        <v>31</v>
      </c>
      <c r="J1" s="12" t="s">
        <v>448</v>
      </c>
      <c r="K1" s="12" t="s">
        <v>449</v>
      </c>
      <c r="L1" s="12" t="s">
        <v>450</v>
      </c>
    </row>
    <row r="2" customFormat="false" ht="45.75" hidden="false" customHeight="true" outlineLevel="0" collapsed="false">
      <c r="A2" s="13" t="s">
        <v>82</v>
      </c>
      <c r="B2" s="13" t="s">
        <v>76</v>
      </c>
      <c r="C2" s="13" t="s">
        <v>451</v>
      </c>
      <c r="D2" s="14" t="s">
        <v>452</v>
      </c>
      <c r="E2" s="14" t="s">
        <v>452</v>
      </c>
      <c r="F2" s="13" t="s">
        <v>453</v>
      </c>
      <c r="G2" s="13" t="s">
        <v>79</v>
      </c>
      <c r="H2" s="13" t="s">
        <v>454</v>
      </c>
      <c r="I2" s="13" t="s">
        <v>455</v>
      </c>
      <c r="J2" s="13" t="s">
        <v>75</v>
      </c>
      <c r="K2" s="13" t="s">
        <v>456</v>
      </c>
      <c r="L2" s="13" t="s">
        <v>457</v>
      </c>
    </row>
    <row r="3" customFormat="false" ht="34.5" hidden="false" customHeight="true" outlineLevel="0" collapsed="false">
      <c r="A3" s="13" t="s">
        <v>92</v>
      </c>
      <c r="B3" s="13" t="s">
        <v>76</v>
      </c>
      <c r="C3" s="13" t="s">
        <v>458</v>
      </c>
      <c r="D3" s="14" t="s">
        <v>452</v>
      </c>
      <c r="E3" s="14" t="s">
        <v>452</v>
      </c>
      <c r="F3" s="13" t="s">
        <v>459</v>
      </c>
      <c r="G3" s="13" t="s">
        <v>43</v>
      </c>
      <c r="H3" s="13" t="s">
        <v>460</v>
      </c>
      <c r="I3" s="13" t="s">
        <v>455</v>
      </c>
      <c r="J3" s="13" t="s">
        <v>88</v>
      </c>
      <c r="K3" s="13" t="s">
        <v>456</v>
      </c>
      <c r="L3" s="13" t="s">
        <v>457</v>
      </c>
    </row>
    <row r="4" customFormat="false" ht="34.5" hidden="false" customHeight="true" outlineLevel="0" collapsed="false">
      <c r="A4" s="13" t="s">
        <v>164</v>
      </c>
      <c r="B4" s="13" t="s">
        <v>461</v>
      </c>
      <c r="C4" s="13" t="s">
        <v>462</v>
      </c>
      <c r="D4" s="15" t="s">
        <v>463</v>
      </c>
      <c r="E4" s="15" t="s">
        <v>463</v>
      </c>
      <c r="F4" s="13" t="s">
        <v>464</v>
      </c>
      <c r="G4" s="13" t="s">
        <v>465</v>
      </c>
      <c r="H4" s="13" t="s">
        <v>466</v>
      </c>
      <c r="I4" s="13" t="s">
        <v>455</v>
      </c>
      <c r="J4" s="13" t="s">
        <v>159</v>
      </c>
      <c r="K4" s="13" t="s">
        <v>456</v>
      </c>
      <c r="L4" s="13" t="s">
        <v>457</v>
      </c>
    </row>
    <row r="5" customFormat="false" ht="34.5" hidden="false" customHeight="true" outlineLevel="0" collapsed="false">
      <c r="A5" s="13" t="s">
        <v>176</v>
      </c>
      <c r="B5" s="13" t="s">
        <v>171</v>
      </c>
      <c r="C5" s="13" t="s">
        <v>467</v>
      </c>
      <c r="D5" s="15" t="s">
        <v>463</v>
      </c>
      <c r="E5" s="15" t="s">
        <v>463</v>
      </c>
      <c r="F5" s="13" t="s">
        <v>468</v>
      </c>
      <c r="G5" s="13" t="s">
        <v>469</v>
      </c>
      <c r="H5" s="13" t="s">
        <v>470</v>
      </c>
      <c r="I5" s="13" t="s">
        <v>455</v>
      </c>
      <c r="J5" s="13" t="s">
        <v>170</v>
      </c>
      <c r="K5" s="13" t="s">
        <v>456</v>
      </c>
      <c r="L5" s="13" t="s">
        <v>457</v>
      </c>
    </row>
    <row r="6" customFormat="false" ht="34.5" hidden="false" customHeight="true" outlineLevel="0" collapsed="false">
      <c r="A6" s="13" t="s">
        <v>183</v>
      </c>
      <c r="B6" s="13" t="s">
        <v>471</v>
      </c>
      <c r="C6" s="13" t="s">
        <v>472</v>
      </c>
      <c r="D6" s="15" t="s">
        <v>463</v>
      </c>
      <c r="E6" s="15" t="s">
        <v>463</v>
      </c>
      <c r="F6" s="13" t="s">
        <v>473</v>
      </c>
      <c r="G6" s="13" t="s">
        <v>206</v>
      </c>
      <c r="H6" s="13" t="s">
        <v>474</v>
      </c>
      <c r="I6" s="13" t="s">
        <v>455</v>
      </c>
      <c r="J6" s="13" t="s">
        <v>475</v>
      </c>
      <c r="K6" s="13" t="s">
        <v>456</v>
      </c>
      <c r="L6" s="13" t="s">
        <v>457</v>
      </c>
    </row>
    <row r="7" customFormat="false" ht="34.5" hidden="false" customHeight="true" outlineLevel="0" collapsed="false">
      <c r="A7" s="13" t="s">
        <v>115</v>
      </c>
      <c r="B7" s="13" t="s">
        <v>476</v>
      </c>
      <c r="C7" s="13" t="s">
        <v>477</v>
      </c>
      <c r="D7" s="14" t="s">
        <v>452</v>
      </c>
      <c r="E7" s="14" t="s">
        <v>452</v>
      </c>
      <c r="F7" s="13" t="s">
        <v>478</v>
      </c>
      <c r="G7" s="13" t="s">
        <v>113</v>
      </c>
      <c r="H7" s="13" t="s">
        <v>114</v>
      </c>
      <c r="I7" s="13" t="s">
        <v>455</v>
      </c>
      <c r="J7" s="13" t="s">
        <v>479</v>
      </c>
      <c r="K7" s="13" t="s">
        <v>456</v>
      </c>
      <c r="L7" s="13" t="s">
        <v>457</v>
      </c>
    </row>
    <row r="8" customFormat="false" ht="34.5" hidden="false" customHeight="true" outlineLevel="0" collapsed="false">
      <c r="A8" s="13" t="s">
        <v>480</v>
      </c>
      <c r="B8" s="13" t="s">
        <v>476</v>
      </c>
      <c r="C8" s="13" t="s">
        <v>481</v>
      </c>
      <c r="D8" s="16" t="s">
        <v>482</v>
      </c>
      <c r="E8" s="16" t="s">
        <v>482</v>
      </c>
      <c r="F8" s="13" t="s">
        <v>483</v>
      </c>
      <c r="G8" s="13" t="s">
        <v>484</v>
      </c>
      <c r="H8" s="13" t="s">
        <v>485</v>
      </c>
      <c r="I8" s="13" t="s">
        <v>455</v>
      </c>
      <c r="J8" s="13" t="s">
        <v>383</v>
      </c>
      <c r="K8" s="13" t="s">
        <v>456</v>
      </c>
      <c r="L8" s="13" t="s">
        <v>457</v>
      </c>
    </row>
    <row r="10" customFormat="false" ht="15" hidden="false" customHeight="true" outlineLevel="0" collapsed="false">
      <c r="A10" s="17"/>
    </row>
  </sheetData>
  <autoFilter ref="A1:I7"/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4" min="4" style="1" width="42"/>
    <col collapsed="false" customWidth="true" hidden="false" outlineLevel="0" max="5" min="5" style="1" width="22"/>
    <col collapsed="false" customWidth="true" hidden="false" outlineLevel="0" max="6" min="6" style="1" width="9"/>
    <col collapsed="false" customWidth="true" hidden="false" outlineLevel="0" max="7" min="7" style="1" width="24"/>
    <col collapsed="false" customWidth="true" hidden="false" outlineLevel="0" max="8" min="8" style="1" width="12"/>
    <col collapsed="false" customWidth="true" hidden="false" outlineLevel="0" max="9" min="9" style="1" width="40"/>
  </cols>
  <sheetData>
    <row r="1" customFormat="false" ht="15" hidden="false" customHeight="true" outlineLevel="0" collapsed="false">
      <c r="A1" s="12" t="s">
        <v>486</v>
      </c>
      <c r="B1" s="12" t="s">
        <v>487</v>
      </c>
      <c r="C1" s="12" t="s">
        <v>488</v>
      </c>
      <c r="D1" s="12" t="s">
        <v>29</v>
      </c>
      <c r="E1" s="12" t="s">
        <v>30</v>
      </c>
      <c r="F1" s="12" t="s">
        <v>31</v>
      </c>
      <c r="G1" s="12" t="s">
        <v>489</v>
      </c>
      <c r="H1" s="12" t="s">
        <v>490</v>
      </c>
      <c r="I1" s="12" t="s">
        <v>425</v>
      </c>
    </row>
    <row r="2" customFormat="false" ht="34.5" hidden="false" customHeight="true" outlineLevel="0" collapsed="false">
      <c r="A2" s="13" t="s">
        <v>491</v>
      </c>
      <c r="B2" s="13" t="s">
        <v>492</v>
      </c>
      <c r="C2" s="13" t="s">
        <v>493</v>
      </c>
      <c r="D2" s="13" t="s">
        <v>494</v>
      </c>
      <c r="E2" s="13" t="s">
        <v>495</v>
      </c>
      <c r="F2" s="13" t="s">
        <v>39</v>
      </c>
      <c r="G2" s="13" t="s">
        <v>496</v>
      </c>
      <c r="H2" s="13" t="s">
        <v>497</v>
      </c>
      <c r="I2" s="13" t="s">
        <v>498</v>
      </c>
    </row>
    <row r="3" customFormat="false" ht="34.5" hidden="false" customHeight="true" outlineLevel="0" collapsed="false">
      <c r="A3" s="13" t="s">
        <v>499</v>
      </c>
      <c r="B3" s="13" t="s">
        <v>500</v>
      </c>
      <c r="C3" s="13" t="s">
        <v>501</v>
      </c>
      <c r="D3" s="13" t="s">
        <v>502</v>
      </c>
      <c r="E3" s="13" t="s">
        <v>495</v>
      </c>
      <c r="F3" s="13" t="s">
        <v>39</v>
      </c>
      <c r="G3" s="13" t="s">
        <v>496</v>
      </c>
      <c r="H3" s="13" t="s">
        <v>497</v>
      </c>
      <c r="I3" s="13" t="s">
        <v>498</v>
      </c>
    </row>
    <row r="4" customFormat="false" ht="45.75" hidden="false" customHeight="true" outlineLevel="0" collapsed="false">
      <c r="A4" s="13" t="s">
        <v>503</v>
      </c>
      <c r="B4" s="13" t="s">
        <v>504</v>
      </c>
      <c r="C4" s="13" t="s">
        <v>505</v>
      </c>
      <c r="D4" s="13" t="s">
        <v>506</v>
      </c>
      <c r="E4" s="13" t="s">
        <v>495</v>
      </c>
      <c r="F4" s="13" t="s">
        <v>39</v>
      </c>
      <c r="G4" s="13" t="s">
        <v>496</v>
      </c>
      <c r="H4" s="13" t="s">
        <v>497</v>
      </c>
      <c r="I4" s="13" t="s">
        <v>498</v>
      </c>
    </row>
    <row r="6" customFormat="false" ht="15" hidden="false" customHeight="true" outlineLevel="0" collapsed="false">
      <c r="A6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2026-10-08T05:21:50Z</dcterms:created>
  <dc:creator>openpyxl</dc:creator>
  <dc:description/>
  <dc:language>en-US</dc:language>
  <cp:lastModifiedBy/>
  <dcterms:modified xsi:type="dcterms:W3CDTF">2026-10-08T05:55:23Z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